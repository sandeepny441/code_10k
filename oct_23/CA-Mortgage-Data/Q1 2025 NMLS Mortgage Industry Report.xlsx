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worksheets/sheet7.xml" ContentType="application/vnd.openxmlformats-officedocument.spreadsheetml.worksheet+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ustom.xml" ContentType="application/vnd.openxmlformats-officedocument.custom-properties+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xl/tables/table6.xml" ContentType="application/vnd.openxmlformats-officedocument.spreadsheetml.table+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filterPrivacy="1"/>
  <xr:revisionPtr revIDLastSave="534" documentId="11_1A657E45AE6D5421686A2981E0C283D7E6DBA696" xr6:coauthVersionLast="47" xr6:coauthVersionMax="47" xr10:uidLastSave="{3711EDF6-AC09-4744-A01C-12389395D03E}"/>
  <bookViews>
    <workbookView xWindow="-110" yWindow="-110" windowWidth="19420" windowHeight="11500" tabRatio="994" xr2:uid="{00000000-000D-0000-FFFF-FFFF00000000}"/>
  </bookViews>
  <sheets>
    <sheet name="Title" sheetId="2" r:id="rId1"/>
    <sheet name="Mortgage Entities in NMLS" sheetId="3" r:id="rId2"/>
    <sheet name="Counts by State Agency" sheetId="13" r:id="rId3"/>
    <sheet name="Company License Activity" sheetId="17" r:id="rId4"/>
    <sheet name="Individual License Activity" sheetId="18" r:id="rId5"/>
    <sheet name="MCR Originations" sheetId="23" r:id="rId6"/>
    <sheet name="MCR MLOs" sheetId="22" r:id="rId7"/>
    <sheet name="Federal Registrations" sheetId="25" r:id="rId8"/>
  </sheets>
  <definedNames>
    <definedName name="Pivo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23" l="1"/>
  <c r="B4" i="23"/>
  <c r="A5" i="23"/>
  <c r="B5" i="23"/>
  <c r="A6" i="23"/>
  <c r="B6" i="23"/>
  <c r="A7" i="23"/>
  <c r="B7" i="23"/>
  <c r="A8" i="23"/>
  <c r="B8" i="23"/>
  <c r="A9" i="23"/>
  <c r="B9" i="23"/>
  <c r="A10" i="23"/>
  <c r="B10" i="23"/>
  <c r="A11" i="23"/>
  <c r="B11" i="23"/>
  <c r="A12" i="23"/>
  <c r="B12" i="23"/>
  <c r="A13" i="23"/>
  <c r="B13" i="23"/>
  <c r="A14" i="23"/>
  <c r="B14" i="23"/>
  <c r="A15" i="23"/>
  <c r="B15" i="23"/>
  <c r="A16" i="23"/>
  <c r="B16" i="23"/>
  <c r="A17" i="23"/>
  <c r="B17" i="23"/>
  <c r="A18" i="23"/>
  <c r="B18" i="23"/>
  <c r="A19" i="23"/>
  <c r="B19" i="23"/>
  <c r="A20" i="23"/>
  <c r="B20" i="23"/>
  <c r="A21" i="23"/>
  <c r="B21" i="23"/>
  <c r="A22" i="23"/>
  <c r="B22" i="23"/>
  <c r="A23" i="23"/>
  <c r="B23" i="23"/>
  <c r="A24" i="23"/>
  <c r="B24" i="23"/>
  <c r="A25" i="23"/>
  <c r="B25" i="23"/>
  <c r="A26" i="23"/>
  <c r="B26" i="23"/>
  <c r="A5" i="22" l="1"/>
  <c r="B5" i="22"/>
  <c r="A6" i="22"/>
  <c r="B6" i="22"/>
  <c r="A7" i="22"/>
  <c r="B7" i="22"/>
  <c r="A8" i="22"/>
  <c r="B8" i="22"/>
  <c r="A9" i="22"/>
  <c r="B9" i="22"/>
  <c r="A10" i="22"/>
  <c r="B10" i="22"/>
  <c r="A11" i="22"/>
  <c r="B11" i="22"/>
  <c r="A12" i="22"/>
  <c r="B12" i="22"/>
  <c r="A13" i="22"/>
  <c r="B13" i="22"/>
  <c r="A14" i="22"/>
  <c r="B14" i="22"/>
  <c r="A15" i="22"/>
  <c r="B15" i="22"/>
  <c r="A16" i="22"/>
  <c r="B16" i="22"/>
  <c r="A17" i="22"/>
  <c r="B17" i="22"/>
  <c r="A18" i="22"/>
  <c r="B18" i="22"/>
  <c r="A19" i="22"/>
  <c r="B19" i="22"/>
  <c r="A20" i="22"/>
  <c r="B20" i="22"/>
  <c r="A21" i="22"/>
  <c r="B21" i="22"/>
  <c r="A22" i="22"/>
  <c r="B22" i="22"/>
  <c r="A23" i="22"/>
  <c r="B23" i="22"/>
  <c r="A24" i="22"/>
  <c r="B24" i="22"/>
  <c r="A25" i="22"/>
  <c r="B25" i="22"/>
</calcChain>
</file>

<file path=xl/sharedStrings.xml><?xml version="1.0" encoding="utf-8"?>
<sst xmlns="http://schemas.openxmlformats.org/spreadsheetml/2006/main" count="438" uniqueCount="191">
  <si>
    <t>NMLS Mortgage Industry Report</t>
  </si>
  <si>
    <t>Conference of State Bank Supervisors</t>
  </si>
  <si>
    <t>1300 I Street NW, Suite 700 East</t>
  </si>
  <si>
    <t>Washington, D.C.  20005</t>
  </si>
  <si>
    <t>1. Mortgage Entities in NMLS</t>
  </si>
  <si>
    <t>State-Licensed Entities</t>
  </si>
  <si>
    <t>Type</t>
  </si>
  <si>
    <t>Unique Entities</t>
  </si>
  <si>
    <t>Over-The-Year Growth, Entities</t>
  </si>
  <si>
    <t>Licenses</t>
  </si>
  <si>
    <t>Over-The-Year Growth, Licenses</t>
  </si>
  <si>
    <t>Company</t>
  </si>
  <si>
    <t>Branch</t>
  </si>
  <si>
    <t>Individual</t>
  </si>
  <si>
    <t>Counts for company and branch include companies holding an approved state license or a state registration through NMLS. License counts include separate licenses required for other trade names in certain states and multiple licenses for different authorities (e.g., lender and broker) in certain states.</t>
  </si>
  <si>
    <t>Federally Registered Entities</t>
  </si>
  <si>
    <t>Over the Year Growth</t>
  </si>
  <si>
    <t>Dual Entities</t>
  </si>
  <si>
    <t>Note</t>
  </si>
  <si>
    <t>A few companies and MLOs hold both an approved state license and an active federal registration.</t>
  </si>
  <si>
    <t>Unique Individuals</t>
  </si>
  <si>
    <t>⁶</t>
  </si>
  <si>
    <t>⁸</t>
  </si>
  <si>
    <t>⁵</t>
  </si>
  <si>
    <t>⁴</t>
  </si>
  <si>
    <t>COMPANY</t>
  </si>
  <si>
    <t>BRANCH</t>
  </si>
  <si>
    <t>INDIVIDUAL</t>
  </si>
  <si>
    <t>State Agency</t>
  </si>
  <si>
    <t>Companies</t>
  </si>
  <si>
    <r>
      <t>Annual Percentage Change</t>
    </r>
    <r>
      <rPr>
        <b/>
        <vertAlign val="superscript"/>
        <sz val="11"/>
        <color rgb="FF000000"/>
        <rFont val="Calibri"/>
        <family val="2"/>
      </rPr>
      <t>2</t>
    </r>
  </si>
  <si>
    <r>
      <t>Located in the State</t>
    </r>
    <r>
      <rPr>
        <b/>
        <vertAlign val="superscript"/>
        <sz val="11"/>
        <color rgb="FF000000"/>
        <rFont val="Calibri"/>
        <family val="2"/>
      </rPr>
      <t>3</t>
    </r>
  </si>
  <si>
    <t>Branches</t>
  </si>
  <si>
    <t>Individuals</t>
  </si>
  <si>
    <t>Average Individuals Per Company</t>
  </si>
  <si>
    <t>Alabama</t>
  </si>
  <si>
    <t>Alaska</t>
  </si>
  <si>
    <t>Arizona</t>
  </si>
  <si>
    <t>44926</t>
  </si>
  <si>
    <t>Arkansas</t>
  </si>
  <si>
    <t>California DRE</t>
  </si>
  <si>
    <t>California DFPI</t>
  </si>
  <si>
    <t>Colorado</t>
  </si>
  <si>
    <t>=TEXT(IFERROR(VLOOKUP(A11,'MLOs per Company'!A:D,4,FALSE),"-"),"#,##0.0")&amp;$K$1</t>
  </si>
  <si>
    <t>Connecticut</t>
  </si>
  <si>
    <t>Delaware</t>
  </si>
  <si>
    <t>District of Columbia</t>
  </si>
  <si>
    <t>Florida</t>
  </si>
  <si>
    <t>Georgia</t>
  </si>
  <si>
    <t>Guam</t>
  </si>
  <si>
    <t>Hawaii</t>
  </si>
  <si>
    <t>Idaho</t>
  </si>
  <si>
    <t>Illinois</t>
  </si>
  <si>
    <t>Indiana DFI</t>
  </si>
  <si>
    <t>Indiana SOS</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</si>
  <si>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</si>
  <si>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</si>
  <si>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</si>
  <si>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</si>
  <si>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</si>
  <si>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</si>
  <si>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</si>
  <si>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</si>
  <si>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</si>
  <si>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</si>
  <si>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</si>
  <si>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</si>
  <si>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</si>
  <si>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</si>
  <si>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</si>
  <si>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</si>
  <si>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</si>
  <si>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</si>
  <si>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</si>
  <si>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</si>
  <si>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</si>
  <si>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 DCC</t>
  </si>
  <si>
    <t>Oregon</t>
  </si>
  <si>
    <t>Pennsylvania</t>
  </si>
  <si>
    <t>Puerto Rico</t>
  </si>
  <si>
    <t>Rhode Island</t>
  </si>
  <si>
    <t>South Carolina BFI</t>
  </si>
  <si>
    <t>South Carolina DCA</t>
  </si>
  <si>
    <t>South Dakota</t>
  </si>
  <si>
    <t>Tennessee</t>
  </si>
  <si>
    <t>Texas OCCC</t>
  </si>
  <si>
    <t>Texas SML</t>
  </si>
  <si>
    <t>Utah DFI</t>
  </si>
  <si>
    <t>Utah DRE</t>
  </si>
  <si>
    <t>Vermont</t>
  </si>
  <si>
    <t>Virgin Islands</t>
  </si>
  <si>
    <t>Virginia</t>
  </si>
  <si>
    <t>Washington</t>
  </si>
  <si>
    <t>West Virginia</t>
  </si>
  <si>
    <t>Wisconsin</t>
  </si>
  <si>
    <t>Wyoming</t>
  </si>
  <si>
    <t>Nationwide</t>
  </si>
  <si>
    <t>-</t>
  </si>
  <si>
    <t>Notes</t>
  </si>
  <si>
    <t>1. This report counts the number of companies, branches, and MLOs in each state, regardless of the number of licenses these entities may hold in each state. Thus, if a company holds two licenses within a state (e.g., broker and lender), the company is only counted once. The same is true for the average MLOs per company. Nationwide figures, similarly, only count each company, branch or individual once.</t>
  </si>
  <si>
    <t>2. Percentage change indicates the overall increase or decrease in licensed entities that occurred over the previous 12 months.</t>
  </si>
  <si>
    <t>3. Located in the state means that the company's headquarters, as identified on their NMLS Company Form, is located in the state, or the MLO's work address, as identified on their NMLS Individual Form, is located in the state.</t>
  </si>
  <si>
    <t>4. Texas OCCC did not manage mortgage company licensing through NMLS in 2023Q2.</t>
  </si>
  <si>
    <t>5. The following agencies did not manage mortgage branch licensing through NMLS in 2023Q2: Colorado, Indiana DFI, Michigan, South Dakota, Texas OCCC, Utah DFI.</t>
  </si>
  <si>
    <t>6. The following agencies do not require sponsorship of MLOs by the employing company: Florida, Texas OCCC, Utah DFI.  The number of MLOs located in these states may be undercounted, and the calculation of average MLOs per company may not be as precise in these states as in the others.</t>
  </si>
  <si>
    <t>New Applications</t>
  </si>
  <si>
    <t>Applications Processed</t>
  </si>
  <si>
    <t>License Expirations</t>
  </si>
  <si>
    <t>Approved</t>
  </si>
  <si>
    <t>Denied</t>
  </si>
  <si>
    <t>Withdrawn</t>
  </si>
  <si>
    <t>Revoked</t>
  </si>
  <si>
    <t>Surrendered</t>
  </si>
  <si>
    <t>Terminated</t>
  </si>
  <si>
    <t>National</t>
  </si>
  <si>
    <t>1. Texas OCCC did not manage mortgage company licensing through NMLS in 2023Q2.</t>
  </si>
  <si>
    <t>2. The Hawaii Division of Financial Institutions indicated they cannot release the number of license applications denied.</t>
  </si>
  <si>
    <t>Definitions</t>
  </si>
  <si>
    <r>
      <rPr>
        <b/>
        <sz val="10"/>
        <rFont val="Calibri"/>
        <family val="2"/>
      </rPr>
      <t xml:space="preserve">Approved: </t>
    </r>
    <r>
      <rPr>
        <sz val="10"/>
        <rFont val="Calibri"/>
        <family val="2"/>
      </rPr>
      <t xml:space="preserve">Status assigned when regulator has reviewed the license/registration application and decided to issue a license to the applicant through NMLS. </t>
    </r>
  </si>
  <si>
    <r>
      <rPr>
        <b/>
        <sz val="10"/>
        <rFont val="Calibri"/>
        <family val="2"/>
      </rPr>
      <t xml:space="preserve">Denied: </t>
    </r>
    <r>
      <rPr>
        <sz val="10"/>
        <rFont val="Calibri"/>
        <family val="2"/>
      </rPr>
      <t xml:space="preserve">Status assigned when a regulator has reviewed the license/registration application and determined that sufficient grounds exist to deny the request. This status may also be used by regulators who deny a renewal request for license. </t>
    </r>
  </si>
  <si>
    <r>
      <rPr>
        <b/>
        <sz val="10"/>
        <rFont val="Calibri"/>
        <family val="2"/>
      </rPr>
      <t>Withdrawn:</t>
    </r>
    <r>
      <rPr>
        <sz val="10"/>
        <rFont val="Calibri"/>
        <family val="2"/>
      </rPr>
      <t xml:space="preserve"> Status assigned when an applicant has been approved to voluntarily withdraw their application or has not responded to regulator requests for additional information within a timely manner.</t>
    </r>
  </si>
  <si>
    <r>
      <rPr>
        <b/>
        <sz val="10"/>
        <rFont val="Calibri"/>
        <family val="2"/>
      </rPr>
      <t xml:space="preserve">Revoked: </t>
    </r>
    <r>
      <rPr>
        <sz val="10"/>
        <rFont val="Calibri"/>
        <family val="2"/>
      </rPr>
      <t>Status assigned when a regulator has taken action to revoke the license/registration. Pursuant to federal SAFE Act legislation, placement of a MLO license into this status will render the MLO unable to obtain or maintain a license to conduct mortgage business in any jurisdiction.</t>
    </r>
  </si>
  <si>
    <r>
      <rPr>
        <b/>
        <sz val="10"/>
        <rFont val="Calibri"/>
        <family val="2"/>
      </rPr>
      <t xml:space="preserve">Surrendered: </t>
    </r>
    <r>
      <rPr>
        <sz val="10"/>
        <rFont val="Calibri"/>
        <family val="2"/>
      </rPr>
      <t xml:space="preserve">Status assigned when a regulator approved a surrender/cancellation request submitted by the licensee/registrant. </t>
    </r>
  </si>
  <si>
    <r>
      <rPr>
        <b/>
        <sz val="10"/>
        <rFont val="Calibri"/>
        <family val="2"/>
      </rPr>
      <t xml:space="preserve">Terminated: </t>
    </r>
    <r>
      <rPr>
        <sz val="10"/>
        <rFont val="Calibri"/>
        <family val="2"/>
      </rPr>
      <t xml:space="preserve">Status assigned when a regulator expires a license/registration. </t>
    </r>
  </si>
  <si>
    <t>(1)</t>
  </si>
  <si>
    <t>1. The Hawaii Division of Financial Institutions indicated they cannot release the number of license applications denied.</t>
  </si>
  <si>
    <r>
      <rPr>
        <b/>
        <sz val="10"/>
        <rFont val="Calibri"/>
        <family val="2"/>
      </rPr>
      <t xml:space="preserve">Denied: </t>
    </r>
    <r>
      <rPr>
        <sz val="10"/>
        <rFont val="Calibri"/>
        <family val="2"/>
      </rPr>
      <t xml:space="preserve">Status assigned when a regulator has reviewed the license/registration application and determined sufficient grounds exist to deny the request. This status may also be used by regulators who deny a renewal request for license. </t>
    </r>
  </si>
  <si>
    <r>
      <rPr>
        <b/>
        <sz val="10"/>
        <rFont val="Calibri"/>
        <family val="2"/>
      </rPr>
      <t>Withdrawn:</t>
    </r>
    <r>
      <rPr>
        <sz val="10"/>
        <rFont val="Calibri"/>
        <family val="2"/>
      </rPr>
      <t xml:space="preserve"> Status assigned when an applicant has been approved to voluntarily withdraw their application or has not responded to regulator requests for additional information within a timely manner. </t>
    </r>
  </si>
  <si>
    <r>
      <rPr>
        <b/>
        <sz val="10"/>
        <rFont val="Calibri"/>
        <family val="2"/>
      </rPr>
      <t xml:space="preserve">Revoked: </t>
    </r>
    <r>
      <rPr>
        <sz val="10"/>
        <rFont val="Calibri"/>
        <family val="2"/>
      </rPr>
      <t xml:space="preserve">Status assigned when a regulator has taken action to revoke the license/registration. Pursuant to federal SAFE Act legislation, placement of a MLO license into this status will render the MLO unable to obtain or maintain a license to conduct mortgage business in any jurisdiction. </t>
    </r>
  </si>
  <si>
    <t>5. Mortgage Call Report: Loan Originations</t>
  </si>
  <si>
    <t>Year</t>
  </si>
  <si>
    <t>Quarter</t>
  </si>
  <si>
    <t>Filing Quarter</t>
  </si>
  <si>
    <t>Home Purchase</t>
  </si>
  <si>
    <t>Refinancing</t>
  </si>
  <si>
    <t>Home Improvement</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</si>
  <si>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</si>
  <si>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</si>
  <si>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</si>
  <si>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</si>
  <si>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</si>
  <si>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</si>
  <si>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</si>
  <si>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</si>
  <si>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</si>
  <si>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</si>
  <si>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</si>
  <si>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</si>
  <si>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</si>
  <si>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</si>
  <si>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</si>
  <si>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</si>
  <si>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</si>
  <si>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</si>
  <si>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</si>
  <si>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6. Mortgage Call Report: Loan Originators</t>
  </si>
  <si>
    <t>Active MLOs (originated at least 1 loan in the quarter)</t>
  </si>
  <si>
    <t>Active MLOs</t>
  </si>
  <si>
    <t>State</t>
  </si>
  <si>
    <t>Total</t>
  </si>
  <si>
    <t>FDIC</t>
  </si>
  <si>
    <t>FRB</t>
  </si>
  <si>
    <t>NCUA</t>
  </si>
  <si>
    <t>OCC</t>
  </si>
  <si>
    <t>FCA</t>
  </si>
  <si>
    <t>California</t>
  </si>
  <si>
    <t>Indiana</t>
  </si>
  <si>
    <t>Oklahoma</t>
  </si>
  <si>
    <t>South Carolina</t>
  </si>
  <si>
    <t>Texas</t>
  </si>
  <si>
    <t>Utah</t>
  </si>
  <si>
    <t xml:space="preserve">The number of MLOs in each state is determined by the work address provided in each MLO's record. </t>
  </si>
  <si>
    <r>
      <rPr>
        <b/>
        <sz val="10"/>
        <rFont val="Calibri"/>
        <family val="2"/>
      </rPr>
      <t>FDIC</t>
    </r>
    <r>
      <rPr>
        <sz val="10"/>
        <rFont val="Calibri"/>
        <family val="2"/>
      </rPr>
      <t xml:space="preserve"> - Federal Deposit Insurance Corporation</t>
    </r>
  </si>
  <si>
    <r>
      <rPr>
        <b/>
        <sz val="10"/>
        <rFont val="Calibri"/>
        <family val="2"/>
      </rPr>
      <t>FRB</t>
    </r>
    <r>
      <rPr>
        <sz val="10"/>
        <rFont val="Calibri"/>
        <family val="2"/>
      </rPr>
      <t xml:space="preserve"> - Board of Governors of the Federal Reserve Board</t>
    </r>
  </si>
  <si>
    <r>
      <rPr>
        <b/>
        <sz val="10"/>
        <rFont val="Calibri"/>
        <family val="2"/>
      </rPr>
      <t>NCUA</t>
    </r>
    <r>
      <rPr>
        <sz val="10"/>
        <rFont val="Calibri"/>
        <family val="2"/>
      </rPr>
      <t xml:space="preserve"> - National Credit Union Administration</t>
    </r>
  </si>
  <si>
    <r>
      <rPr>
        <b/>
        <sz val="10"/>
        <rFont val="Calibri"/>
        <family val="2"/>
      </rPr>
      <t>OCC</t>
    </r>
    <r>
      <rPr>
        <sz val="10"/>
        <rFont val="Calibri"/>
        <family val="2"/>
      </rPr>
      <t xml:space="preserve"> - Office of the Comptroller of the Currency</t>
    </r>
  </si>
  <si>
    <r>
      <rPr>
        <b/>
        <sz val="10"/>
        <rFont val="Calibri"/>
        <family val="2"/>
      </rPr>
      <t>FCA</t>
    </r>
    <r>
      <rPr>
        <sz val="10"/>
        <rFont val="Calibri"/>
        <family val="2"/>
      </rPr>
      <t xml:space="preserve"> - Farm Credit Administration</t>
    </r>
  </si>
  <si>
    <t>2024Q4</t>
  </si>
  <si>
    <t>2025Q1 Update</t>
  </si>
  <si>
    <t>Produced July 1st, 2025</t>
  </si>
  <si>
    <t>Unless otherwise noted, all figures cover 2025Q1 activity, or statuses as of March 31st, 2025.</t>
  </si>
  <si>
    <t>2025Q1</t>
  </si>
  <si>
    <t>7. Federally Registered Mortgage Loan Originators, March 31st, 2025</t>
  </si>
  <si>
    <t>2. State-Licensed Mortgage Entities¹, March 31st, 2025</t>
  </si>
  <si>
    <t>3. 2025Q1 State Licensing Activities: Mortgage Company Licenses¹</t>
  </si>
  <si>
    <t>4. 2021Q1 State Licensing Activities: Mortgage Individual Licenses</t>
  </si>
  <si>
    <t>-⁵</t>
  </si>
  <si>
    <t>-⁶</t>
  </si>
  <si>
    <t>-⁴</t>
  </si>
  <si>
    <t>-²</t>
  </si>
  <si>
    <t>-¹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</si>
</sst>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0#############E+###"/>
    <numFmt numFmtId="165" formatCode="#,##0.0%"/>
    <numFmt numFmtId="167" formatCode="_(* #,##0_);_(* \(#,##0\);_(* &quot;-&quot;??_);_(@_)"/>
    <numFmt numFmtId="168" formatCode="_(* #,##0.0_);_(* \(#,##0.0\);_(* &quot;-&quot;??_);_(@_)"/>
    <numFmt numFmtId="169" formatCode="0.0%"/>
    <numFmt numFmtId="170" formatCode="&quot;$&quot;#,##0;\(&quot;$&quot;#,##0\)"/>
    <numFmt numFmtId="171" formatCode="&quot;$&quot;#,##0"/>
    <numFmt numFmtId="172" formatCode="##############"/>
  </numFmts>
  <fonts count="52" x14ac:knownFonts="1">
    <font>
      <sz val="11"/>
      <color theme="1"/>
      <name val="Calibri"/>
      <family val="2"/>
      <scheme val="minor"/>
    </font>
    <font>
      <b/>
      <sz val="11"/>
      <color theme="1"/>
      <name val="Calibri"/>
      <family val="2"/>
      <scheme val="minor"/>
    </font>
    <font>
      <b/>
      <sz val="24"/>
      <color theme="1"/>
      <name val="Arial"/>
      <family val="2"/>
    </font>
    <font>
      <sz val="24"/>
      <color theme="1"/>
      <name val="Calibri"/>
      <family val="2"/>
      <scheme val="minor"/>
    </font>
    <font>
      <b/>
      <sz val="14"/>
      <color rgb="FF1F497D"/>
      <name val="Cambria"/>
      <family val="1"/>
    </font>
    <font>
      <b/>
      <i/>
      <sz val="11"/>
      <color theme="1"/>
      <name val="Cambria"/>
      <family val="1"/>
    </font>
    <font>
      <b/>
      <sz val="11"/>
      <color rgb="FFFFFFFF"/>
      <name val="Calibri"/>
      <family val="2"/>
      <scheme val="minor"/>
    </font>
    <font>
      <b/>
      <sz val="11"/>
      <color rgb="FF333333"/>
      <name val="Calibri"/>
      <family val="2"/>
      <scheme val="minor"/>
    </font>
    <font>
      <sz val="11"/>
      <color rgb="FF333333"/>
      <name val="Calibri"/>
      <family val="2"/>
      <scheme val="minor"/>
    </font>
    <font>
      <sz val="10"/>
      <color theme="1"/>
      <name val="Calibri"/>
      <family val="2"/>
      <scheme val="minor"/>
    </font>
    <font>
      <b/>
      <i/>
      <sz val="11"/>
      <color theme="1"/>
      <name val="Calibri"/>
      <family val="2"/>
      <scheme val="minor"/>
    </font>
    <font>
      <b/>
      <u/>
      <sz val="11"/>
      <color rgb="FF000000"/>
      <name val="Calibri"/>
      <family val="2"/>
      <scheme val="minor"/>
    </font>
    <font>
      <b/>
      <sz val="11"/>
      <color theme="0"/>
      <name val="Calibri"/>
      <family val="2"/>
      <scheme val="minor"/>
    </font>
    <font>
      <sz val="11"/>
      <name val="Calibri"/>
      <family val="2"/>
      <scheme val="minor"/>
    </font>
    <font>
      <sz val="8"/>
      <color indexed="63"/>
      <name val="Tahoma"/>
      <family val="2"/>
    </font>
    <font>
      <sz val="10"/>
      <name val="Arial"/>
      <family val="2"/>
    </font>
    <font>
      <sz val="10"/>
      <name val="MS Sans Serif"/>
      <family val="2"/>
    </font>
    <font>
      <sz val="10"/>
      <name val="Calibri"/>
      <family val="2"/>
      <scheme val="minor"/>
    </font>
    <font>
      <sz val="10"/>
      <name val="Calibri"/>
      <family val="2"/>
    </font>
    <font>
      <sz val="14"/>
      <name val="Calibri"/>
      <family val="2"/>
      <scheme val="minor"/>
    </font>
    <font>
      <sz val="11"/>
      <color rgb="FF000000"/>
      <name val="Calibri"/>
      <family val="2"/>
      <scheme val="minor"/>
    </font>
    <font>
      <vertAlign val="superscript"/>
      <sz val="10"/>
      <name val="Calibri"/>
      <family val="2"/>
    </font>
    <font>
      <sz val="10"/>
      <color rgb="FF000000"/>
      <name val="Calibri"/>
      <family val="2"/>
      <scheme val="minor"/>
    </font>
    <font>
      <sz val="14"/>
      <name val="Calibri"/>
      <family val="2"/>
    </font>
    <font>
      <b/>
      <sz val="14"/>
      <color rgb="FFFFFFFF"/>
      <name val="Calibri"/>
      <family val="2"/>
    </font>
    <font>
      <b/>
      <sz val="11"/>
      <color rgb="FF000000"/>
      <name val="Calibri"/>
      <family val="2"/>
    </font>
    <font>
      <b/>
      <vertAlign val="superscript"/>
      <sz val="11"/>
      <color rgb="FF000000"/>
      <name val="Calibri"/>
      <family val="2"/>
    </font>
    <font>
      <sz val="11"/>
      <color rgb="FF000000"/>
      <name val="Calibri"/>
      <family val="2"/>
    </font>
    <font>
      <b/>
      <sz val="14"/>
      <color rgb="FF000000"/>
      <name val="Calibri"/>
      <family val="2"/>
    </font>
    <font>
      <b/>
      <sz val="14"/>
      <color rgb="FF365E92"/>
      <name val="Cambria"/>
      <family val="1"/>
    </font>
    <font>
      <b/>
      <u/>
      <sz val="10"/>
      <name val="Calibri"/>
      <family val="2"/>
      <scheme val="minor"/>
    </font>
    <font>
      <b/>
      <i/>
      <sz val="11"/>
      <name val="Cambria"/>
      <family val="1"/>
    </font>
    <font>
      <sz val="10"/>
      <color indexed="63"/>
      <name val="Calibri"/>
      <family val="2"/>
      <scheme val="minor"/>
    </font>
    <font>
      <sz val="11"/>
      <name val="Calibri"/>
      <family val="2"/>
    </font>
    <font>
      <b/>
      <sz val="11"/>
      <color rgb="FF333333"/>
      <name val="Calibri"/>
      <family val="2"/>
    </font>
    <font>
      <sz val="11"/>
      <color rgb="FF333333"/>
      <name val="Calibri"/>
      <family val="2"/>
    </font>
    <font>
      <sz val="8"/>
      <color rgb="FF333333"/>
      <name val="Tahoma"/>
      <family val="2"/>
    </font>
    <font>
      <sz val="9"/>
      <color rgb="FF333333"/>
      <name val="Calibri"/>
      <family val="2"/>
    </font>
    <font>
      <b/>
      <sz val="11"/>
      <name val="Calibri"/>
      <family val="2"/>
    </font>
    <font>
      <b/>
      <u/>
      <sz val="10"/>
      <name val="Calibri"/>
      <family val="2"/>
    </font>
    <font>
      <sz val="10"/>
      <color rgb="FF000000"/>
      <name val="Calibri"/>
      <family val="2"/>
    </font>
    <font>
      <b/>
      <sz val="10"/>
      <name val="Calibri"/>
      <family val="2"/>
    </font>
    <font>
      <b/>
      <sz val="14"/>
      <color rgb="FF366092"/>
      <name val="Cambria"/>
      <family val="1"/>
    </font>
    <font>
      <sz val="8"/>
      <color theme="0"/>
      <name val="Tahoma"/>
      <family val="2"/>
    </font>
    <font>
      <b/>
      <sz val="8"/>
      <color theme="0"/>
      <name val="Tahoma"/>
      <family val="2"/>
    </font>
    <font>
      <sz val="10"/>
      <color theme="0"/>
      <name val="Arial"/>
      <family val="2"/>
    </font>
    <font>
      <b/>
      <i/>
      <sz val="11"/>
      <color indexed="8"/>
      <name val="Cambria"/>
      <family val="1"/>
    </font>
    <font>
      <b/>
      <sz val="8"/>
      <color rgb="FF363636"/>
      <name val="Tahoma"/>
      <family val="2"/>
    </font>
    <font>
      <sz val="8"/>
      <color rgb="FF363636"/>
      <name val="Tahoma"/>
      <family val="2"/>
    </font>
    <font>
      <b/>
      <sz val="8"/>
      <color theme="1"/>
      <name val="Tahoma"/>
      <family val="2"/>
    </font>
    <font>
      <sz val="11"/>
      <color theme="1"/>
      <name val="Calibri"/>
      <family val="2"/>
      <scheme val="minor"/>
    </font>
    <font>
      <sz val="8"/>
      <name val="Calibri"/>
      <family val="2"/>
      <scheme val="minor"/>
    </font>
  </fonts>
  <fills count="7">
    <fill>
      <patternFill patternType="none"/>
    </fill>
    <fill>
      <patternFill patternType="gray125"/>
    </fill>
    <fill>
      <patternFill patternType="solid">
        <fgColor rgb="FF4F81BD"/>
        <bgColor indexed="64"/>
      </patternFill>
    </fill>
    <fill>
      <patternFill patternType="solid">
        <fgColor rgb="FFFFFFFF"/>
        <bgColor indexed="64"/>
      </patternFill>
    </fill>
    <fill>
      <patternFill patternType="solid">
        <fgColor rgb="FF1F497D"/>
        <bgColor indexed="64"/>
      </patternFill>
    </fill>
    <fill>
      <patternFill patternType="solid">
        <fgColor rgb="FF8DB4E2"/>
        <bgColor indexed="64"/>
      </patternFill>
    </fill>
    <fill>
      <patternFill patternType="solid">
        <fgColor theme="0"/>
        <bgColor indexed="64"/>
      </patternFill>
    </fill>
  </fills>
  <borders count="38">
    <border>
      <left/>
      <right/>
      <top/>
      <bottom/>
      <diagonal/>
    </border>
    <border>
      <left/>
      <right/>
      <top style="medium">
        <color rgb="FF4F81BD"/>
      </top>
      <bottom/>
      <diagonal/>
    </border>
    <border>
      <left style="medium">
        <color rgb="FF4F81BD"/>
      </left>
      <right/>
      <top/>
      <bottom/>
      <diagonal/>
    </border>
    <border>
      <left style="medium">
        <color theme="3"/>
      </left>
      <right style="medium">
        <color theme="3"/>
      </right>
      <top style="thin">
        <color theme="3"/>
      </top>
      <bottom style="thin">
        <color theme="3"/>
      </bottom>
      <diagonal/>
    </border>
    <border>
      <left style="thin">
        <color theme="3"/>
      </left>
      <right style="medium">
        <color theme="3"/>
      </right>
      <top style="thin">
        <color theme="3"/>
      </top>
      <bottom style="thin">
        <color theme="3"/>
      </bottom>
      <diagonal/>
    </border>
    <border>
      <left style="medium">
        <color rgb="FF1F497D"/>
      </left>
      <right style="medium">
        <color rgb="FF1F497D"/>
      </right>
      <top style="medium">
        <color rgb="FF1F497D"/>
      </top>
      <bottom style="thin">
        <color rgb="FF1F497D"/>
      </bottom>
      <diagonal/>
    </border>
    <border>
      <left style="medium">
        <color rgb="FF1F497D"/>
      </left>
      <right/>
      <top style="medium">
        <color rgb="FF1F497D"/>
      </top>
      <bottom style="thin">
        <color rgb="FF1F497D"/>
      </bottom>
      <diagonal/>
    </border>
    <border>
      <left style="medium">
        <color rgb="FF1F497D"/>
      </left>
      <right style="thin">
        <color rgb="FF1F497D"/>
      </right>
      <top style="thin">
        <color rgb="FF1F497D"/>
      </top>
      <bottom style="thin">
        <color rgb="FF1F497D"/>
      </bottom>
      <diagonal/>
    </border>
    <border>
      <left style="thin">
        <color rgb="FF1F497D"/>
      </left>
      <right style="thin">
        <color rgb="FF1F497D"/>
      </right>
      <top style="thin">
        <color rgb="FF1F497D"/>
      </top>
      <bottom style="thin">
        <color rgb="FF1F497D"/>
      </bottom>
      <diagonal/>
    </border>
    <border>
      <left style="thin">
        <color rgb="FF1F497D"/>
      </left>
      <right style="medium">
        <color rgb="FF1F497D"/>
      </right>
      <top style="thin">
        <color rgb="FF1F497D"/>
      </top>
      <bottom style="thin">
        <color rgb="FF1F497D"/>
      </bottom>
      <diagonal/>
    </border>
    <border>
      <left style="medium">
        <color rgb="FF1F497D"/>
      </left>
      <right style="medium">
        <color rgb="FF1F497D"/>
      </right>
      <top style="thin">
        <color rgb="FF1F497D"/>
      </top>
      <bottom style="thin">
        <color rgb="FF1F497D"/>
      </bottom>
      <diagonal/>
    </border>
    <border>
      <left/>
      <right style="medium">
        <color rgb="FF1F497D"/>
      </right>
      <top style="thin">
        <color rgb="FF1F497D"/>
      </top>
      <bottom style="thin">
        <color rgb="FF1F497D"/>
      </bottom>
      <diagonal/>
    </border>
    <border>
      <left style="medium">
        <color rgb="FF1F497D"/>
      </left>
      <right/>
      <top style="thin">
        <color rgb="FF1F497D"/>
      </top>
      <bottom style="thin">
        <color rgb="FF1F497D"/>
      </bottom>
      <diagonal/>
    </border>
    <border>
      <left style="medium">
        <color rgb="FF1F497D"/>
      </left>
      <right/>
      <top style="thin">
        <color rgb="FF1F497D"/>
      </top>
      <bottom style="medium">
        <color rgb="FF1F497D"/>
      </bottom>
      <diagonal/>
    </border>
    <border>
      <left style="medium">
        <color rgb="FF1F497D"/>
      </left>
      <right style="thin">
        <color rgb="FF1F497D"/>
      </right>
      <top style="thin">
        <color rgb="FF1F497D"/>
      </top>
      <bottom style="medium">
        <color rgb="FF1F497D"/>
      </bottom>
      <diagonal/>
    </border>
    <border>
      <left style="thin">
        <color rgb="FF1F497D"/>
      </left>
      <right style="thin">
        <color rgb="FF1F497D"/>
      </right>
      <top style="thin">
        <color rgb="FF1F497D"/>
      </top>
      <bottom style="medium">
        <color rgb="FF1F497D"/>
      </bottom>
      <diagonal/>
    </border>
    <border>
      <left style="medium">
        <color rgb="FF1F497D"/>
      </left>
      <right style="medium">
        <color rgb="FF1F497D"/>
      </right>
      <top style="thin">
        <color rgb="FF1F497D"/>
      </top>
      <bottom style="medium">
        <color rgb="FF1F497D"/>
      </bottom>
      <diagonal/>
    </border>
    <border>
      <left style="thin">
        <color rgb="FF1F497D"/>
      </left>
      <right style="medium">
        <color rgb="FF1F497D"/>
      </right>
      <top style="thin">
        <color rgb="FF1F497D"/>
      </top>
      <bottom style="medium">
        <color rgb="FF1F497D"/>
      </bottom>
      <diagonal/>
    </border>
    <border>
      <left/>
      <right/>
      <top/>
      <bottom style="thin">
        <color auto="1"/>
      </bottom>
      <diagonal/>
    </border>
    <border>
      <left style="medium">
        <color rgb="FF1F497D"/>
      </left>
      <right style="medium">
        <color rgb="FF1F497D"/>
      </right>
      <top style="medium">
        <color rgb="FF1F497D"/>
      </top>
      <bottom style="medium">
        <color rgb="FF1F497D"/>
      </bottom>
      <diagonal/>
    </border>
    <border>
      <left style="medium">
        <color rgb="FF1F497D"/>
      </left>
      <right style="medium">
        <color rgb="FF1F497D"/>
      </right>
      <top/>
      <bottom style="medium">
        <color rgb="FF1F497D"/>
      </bottom>
      <diagonal/>
    </border>
    <border>
      <left style="medium">
        <color rgb="FF1F497D"/>
      </left>
      <right/>
      <top/>
      <bottom style="thin">
        <color rgb="FF1F497D"/>
      </bottom>
      <diagonal/>
    </border>
    <border>
      <left style="medium">
        <color rgb="FF1F497D"/>
      </left>
      <right style="medium">
        <color rgb="FF1F497D"/>
      </right>
      <top/>
      <bottom style="thin">
        <color rgb="FF1F497D"/>
      </bottom>
      <diagonal/>
    </border>
    <border>
      <left style="medium">
        <color rgb="FF1F497D"/>
      </left>
      <right/>
      <top style="thin">
        <color rgb="FF1F497D"/>
      </top>
      <bottom/>
      <diagonal/>
    </border>
    <border>
      <left/>
      <right/>
      <top style="medium">
        <color rgb="FF1F497D"/>
      </top>
      <bottom/>
      <diagonal/>
    </border>
    <border>
      <left style="thin">
        <color theme="3"/>
      </left>
      <right style="thin">
        <color theme="3"/>
      </right>
      <top style="thin">
        <color theme="3"/>
      </top>
      <bottom style="thin">
        <color theme="3"/>
      </bottom>
      <diagonal/>
    </border>
    <border>
      <left style="medium">
        <color rgb="FF1F497D"/>
      </left>
      <right style="thin">
        <color rgb="FF1F497D"/>
      </right>
      <top style="medium">
        <color rgb="FF1F497D"/>
      </top>
      <bottom style="thin">
        <color rgb="FF1F497D"/>
      </bottom>
      <diagonal/>
    </border>
    <border>
      <left style="thin">
        <color rgb="FF1F497D"/>
      </left>
      <right style="thin">
        <color rgb="FF1F497D"/>
      </right>
      <top style="medium">
        <color rgb="FF1F497D"/>
      </top>
      <bottom style="thin">
        <color rgb="FF1F497D"/>
      </bottom>
      <diagonal/>
    </border>
    <border>
      <left style="thin">
        <color rgb="FF1F497D"/>
      </left>
      <right style="medium">
        <color rgb="FF1F497D"/>
      </right>
      <top style="medium">
        <color rgb="FF1F497D"/>
      </top>
      <bottom style="thin">
        <color rgb="FF1F497D"/>
      </bottom>
      <diagonal/>
    </border>
    <border>
      <left/>
      <right/>
      <top/>
      <bottom style="medium">
        <color rgb="FF4F81BD"/>
      </bottom>
      <diagonal/>
    </border>
    <border>
      <left/>
      <right style="medium">
        <color rgb="FF4F81BD"/>
      </right>
      <top/>
      <bottom style="medium">
        <color rgb="FF4F81BD"/>
      </bottom>
      <diagonal/>
    </border>
    <border>
      <left/>
      <right/>
      <top style="medium">
        <color rgb="FF4F81BD"/>
      </top>
      <bottom style="medium">
        <color rgb="FF4F81BD"/>
      </bottom>
      <diagonal/>
    </border>
    <border>
      <left style="medium">
        <color rgb="FF1F497D"/>
      </left>
      <right/>
      <top style="medium">
        <color rgb="FF1F497D"/>
      </top>
      <bottom style="medium">
        <color rgb="FF1F497D"/>
      </bottom>
      <diagonal/>
    </border>
    <border>
      <left/>
      <right style="medium">
        <color rgb="FF1F497D"/>
      </right>
      <top style="medium">
        <color rgb="FF1F497D"/>
      </top>
      <bottom style="medium">
        <color rgb="FF1F497D"/>
      </bottom>
      <diagonal/>
    </border>
    <border>
      <left style="thin">
        <color rgb="FFDCDCDC"/>
      </left>
      <right style="thin">
        <color rgb="FFDCDCDC"/>
      </right>
      <top style="thin">
        <color rgb="FFDCDCDC"/>
      </top>
      <bottom style="thin">
        <color rgb="FFDCDCDC"/>
      </bottom>
      <diagonal/>
    </border>
    <border>
      <left style="medium">
        <color rgb="FFDCDCDC"/>
      </left>
      <right style="thin">
        <color rgb="FFDCDCDC"/>
      </right>
      <top style="thin">
        <color rgb="FFDCDCDC"/>
      </top>
      <bottom style="thin">
        <color rgb="FFDCDCDC"/>
      </bottom>
      <diagonal/>
    </border>
    <border>
      <left style="thin">
        <color rgb="FFDCDCDC"/>
      </left>
      <right style="medium">
        <color rgb="FFDCDCDC"/>
      </right>
      <top style="medium">
        <color rgb="FFDCDCDC"/>
      </top>
      <bottom style="thin">
        <color rgb="FFDCDCDC"/>
      </bottom>
      <diagonal/>
    </border>
    <border>
      <left style="thin">
        <color rgb="FFDCDCDC"/>
      </left>
      <right style="thin">
        <color rgb="FFDCDCDC"/>
      </right>
      <top style="thin">
        <color rgb="FFDCDCDC"/>
      </top>
      <bottom/>
      <diagonal/>
    </border>
  </borders>
  <cellStyleXfs count="8">
    <xf numFmtId="0" fontId="0" fillId="0" borderId="0"/>
    <xf numFmtId="0" fontId="15" fillId="0" borderId="0"/>
    <xf numFmtId="43" fontId="16" fillId="0" borderId="0" applyFont="0" applyFill="0" applyBorder="0" applyAlignment="0" applyProtection="0"/>
    <xf numFmtId="9" fontId="16"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43" fontId="50" fillId="0" borderId="0" applyFont="0" applyFill="0" applyBorder="0" applyAlignment="0" applyProtection="0"/>
  </cellStyleXfs>
  <cellXfs count="156">
    <xf numFmtId="0" fontId="0" fillId="0" borderId="0" xfId="0"/>
    <xf numFmtId="0" fontId="18" fillId="0" borderId="0" xfId="0" applyFont="1" applyAlignment="1">
      <alignment wrapText="1"/>
    </xf>
    <xf numFmtId="0" fontId="24" fillId="4" borderId="5" xfId="0" applyFont="1" applyFill="1" applyBorder="1" applyAlignment="1">
      <alignment horizontal="center" vertical="center" wrapText="1"/>
    </xf>
    <xf numFmtId="0" fontId="2" fillId="0" borderId="0" xfId="0" applyFont="1" applyAlignment="1">
      <alignment horizontal="left" vertical="center"/>
    </xf>
    <xf numFmtId="0" fontId="3" fillId="0" borderId="0" xfId="0" applyFont="1" applyAlignment="1">
      <alignment horizontal="left"/>
    </xf>
    <xf numFmtId="0" fontId="0" fillId="0" borderId="0" xfId="0" applyAlignment="1">
      <alignment horizontal="left"/>
    </xf>
    <xf numFmtId="0" fontId="0" fillId="0" borderId="0" xfId="0" applyAlignment="1">
      <alignment vertical="center"/>
    </xf>
    <xf numFmtId="0" fontId="1" fillId="0" borderId="0" xfId="0" applyFont="1"/>
    <xf numFmtId="0" fontId="4" fillId="0" borderId="0" xfId="0" applyFont="1" applyAlignment="1">
      <alignment vertical="center"/>
    </xf>
    <xf numFmtId="0" fontId="5"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6" fillId="0" borderId="0" xfId="0" applyFont="1" applyAlignment="1">
      <alignment vertical="center" wrapText="1"/>
    </xf>
    <xf numFmtId="0" fontId="6" fillId="0" borderId="0" xfId="0" applyFont="1" applyAlignment="1">
      <alignment horizontal="center" vertical="center" wrapText="1"/>
    </xf>
    <xf numFmtId="0" fontId="6" fillId="2" borderId="0" xfId="0" applyFont="1" applyFill="1" applyAlignment="1">
      <alignment vertical="center"/>
    </xf>
    <xf numFmtId="0" fontId="6" fillId="2" borderId="0" xfId="0" applyFont="1" applyFill="1" applyAlignment="1">
      <alignment vertical="center" wrapText="1"/>
    </xf>
    <xf numFmtId="0" fontId="7" fillId="3" borderId="1" xfId="0" applyFont="1" applyFill="1" applyBorder="1" applyAlignment="1">
      <alignment vertical="center" wrapText="1"/>
    </xf>
    <xf numFmtId="0" fontId="0" fillId="0" borderId="2" xfId="0" applyBorder="1"/>
    <xf numFmtId="0" fontId="13" fillId="0" borderId="0" xfId="0" applyFont="1"/>
    <xf numFmtId="0" fontId="12" fillId="2" borderId="0" xfId="0" applyFont="1" applyFill="1" applyAlignment="1">
      <alignment vertical="center" wrapText="1"/>
    </xf>
    <xf numFmtId="0" fontId="12" fillId="2" borderId="0" xfId="0" applyFont="1" applyFill="1" applyAlignment="1">
      <alignment horizontal="center" vertical="center" wrapText="1"/>
    </xf>
    <xf numFmtId="0" fontId="17" fillId="0" borderId="0" xfId="0" applyFont="1"/>
    <xf numFmtId="0" fontId="18" fillId="0" borderId="0" xfId="0" applyFont="1"/>
    <xf numFmtId="0" fontId="15" fillId="0" borderId="0" xfId="0" applyFont="1"/>
    <xf numFmtId="0" fontId="19" fillId="0" borderId="0" xfId="0" applyFont="1"/>
    <xf numFmtId="0" fontId="17" fillId="0" borderId="0" xfId="0" applyFont="1" applyAlignment="1">
      <alignment wrapText="1"/>
    </xf>
    <xf numFmtId="0" fontId="21" fillId="0" borderId="0" xfId="0" applyFont="1"/>
    <xf numFmtId="49" fontId="0" fillId="0" borderId="0" xfId="0" applyNumberFormat="1"/>
    <xf numFmtId="167" fontId="22" fillId="0" borderId="3" xfId="2" quotePrefix="1" applyNumberFormat="1" applyFont="1" applyFill="1" applyBorder="1" applyAlignment="1" applyProtection="1">
      <alignment horizontal="right" vertical="center" wrapText="1" indent="1"/>
    </xf>
    <xf numFmtId="168" fontId="20" fillId="0" borderId="4" xfId="2" applyNumberFormat="1" applyFont="1" applyFill="1" applyBorder="1" applyAlignment="1" applyProtection="1">
      <alignment horizontal="right" vertical="center" wrapText="1" indent="1"/>
    </xf>
    <xf numFmtId="168" fontId="0" fillId="0" borderId="0" xfId="2" applyNumberFormat="1" applyFont="1"/>
    <xf numFmtId="168" fontId="16" fillId="0" borderId="0" xfId="2" quotePrefix="1" applyNumberFormat="1" applyFont="1"/>
    <xf numFmtId="0" fontId="23" fillId="0" borderId="0" xfId="0" applyFont="1"/>
    <xf numFmtId="0" fontId="25" fillId="5" borderId="6" xfId="0" applyFont="1" applyFill="1" applyBorder="1" applyAlignment="1">
      <alignment horizontal="center" vertical="center" wrapText="1"/>
    </xf>
    <xf numFmtId="0" fontId="25" fillId="5" borderId="7" xfId="0" applyFont="1" applyFill="1" applyBorder="1" applyAlignment="1">
      <alignment horizontal="center" vertical="center" wrapText="1"/>
    </xf>
    <xf numFmtId="0" fontId="25" fillId="5" borderId="8" xfId="0" applyFont="1" applyFill="1" applyBorder="1" applyAlignment="1">
      <alignment horizontal="center" vertical="center" wrapText="1"/>
    </xf>
    <xf numFmtId="0" fontId="25" fillId="5" borderId="9" xfId="0" applyFont="1" applyFill="1" applyBorder="1" applyAlignment="1">
      <alignment horizontal="center" vertical="center" wrapText="1"/>
    </xf>
    <xf numFmtId="0" fontId="25" fillId="5" borderId="10" xfId="0" applyFont="1" applyFill="1" applyBorder="1" applyAlignment="1">
      <alignment horizontal="center" vertical="center" wrapText="1"/>
    </xf>
    <xf numFmtId="0" fontId="25" fillId="5" borderId="11" xfId="0" applyFont="1" applyFill="1" applyBorder="1" applyAlignment="1">
      <alignment horizontal="center" vertical="center" wrapText="1"/>
    </xf>
    <xf numFmtId="0" fontId="27" fillId="0" borderId="12" xfId="0" applyFont="1" applyBorder="1" applyAlignment="1">
      <alignment vertical="center" wrapText="1"/>
    </xf>
    <xf numFmtId="167" fontId="27" fillId="0" borderId="7" xfId="2" applyNumberFormat="1" applyFont="1" applyFill="1" applyBorder="1" applyAlignment="1" applyProtection="1">
      <alignment horizontal="right" vertical="center" wrapText="1" indent="1"/>
    </xf>
    <xf numFmtId="169" fontId="27" fillId="0" borderId="8" xfId="3" applyNumberFormat="1" applyFont="1" applyFill="1" applyBorder="1" applyAlignment="1" applyProtection="1">
      <alignment horizontal="right" vertical="center" wrapText="1" indent="1"/>
    </xf>
    <xf numFmtId="167" fontId="27" fillId="0" borderId="9" xfId="2" applyNumberFormat="1" applyFont="1" applyFill="1" applyBorder="1" applyAlignment="1" applyProtection="1">
      <alignment horizontal="right" vertical="center" wrapText="1" indent="1"/>
    </xf>
    <xf numFmtId="167" fontId="27" fillId="0" borderId="10" xfId="2" applyNumberFormat="1" applyFont="1" applyFill="1" applyBorder="1" applyAlignment="1" applyProtection="1">
      <alignment horizontal="right" vertical="center" wrapText="1" indent="1"/>
    </xf>
    <xf numFmtId="167" fontId="27" fillId="0" borderId="8" xfId="2" applyNumberFormat="1" applyFont="1" applyFill="1" applyBorder="1" applyAlignment="1" applyProtection="1">
      <alignment horizontal="right" vertical="center" wrapText="1" indent="1"/>
    </xf>
    <xf numFmtId="168" fontId="27" fillId="0" borderId="9" xfId="2" applyNumberFormat="1" applyFont="1" applyFill="1" applyBorder="1" applyAlignment="1" applyProtection="1">
      <alignment horizontal="right" vertical="center" wrapText="1" indent="1"/>
    </xf>
    <xf numFmtId="0" fontId="28" fillId="5" borderId="13" xfId="0" applyFont="1" applyFill="1" applyBorder="1" applyAlignment="1">
      <alignment horizontal="left" vertical="center" wrapText="1"/>
    </xf>
    <xf numFmtId="167" fontId="25" fillId="5" borderId="14" xfId="2" applyNumberFormat="1" applyFont="1" applyFill="1" applyBorder="1" applyAlignment="1" applyProtection="1">
      <alignment horizontal="right" vertical="center" wrapText="1" indent="1"/>
    </xf>
    <xf numFmtId="169" fontId="25" fillId="5" borderId="15" xfId="3" applyNumberFormat="1" applyFont="1" applyFill="1" applyBorder="1" applyAlignment="1" applyProtection="1">
      <alignment horizontal="right" vertical="center" wrapText="1" indent="1"/>
    </xf>
    <xf numFmtId="169" fontId="25" fillId="5" borderId="15" xfId="3" quotePrefix="1" applyNumberFormat="1" applyFont="1" applyFill="1" applyBorder="1" applyAlignment="1" applyProtection="1">
      <alignment horizontal="right" vertical="center" wrapText="1" indent="1"/>
    </xf>
    <xf numFmtId="167" fontId="25" fillId="5" borderId="16" xfId="2" applyNumberFormat="1" applyFont="1" applyFill="1" applyBorder="1" applyAlignment="1" applyProtection="1">
      <alignment horizontal="right" vertical="center" wrapText="1" indent="1"/>
    </xf>
    <xf numFmtId="168" fontId="25" fillId="5" borderId="17" xfId="2" applyNumberFormat="1" applyFont="1" applyFill="1" applyBorder="1" applyAlignment="1" applyProtection="1">
      <alignment horizontal="right" vertical="center" wrapText="1" indent="1"/>
    </xf>
    <xf numFmtId="0" fontId="29" fillId="0" borderId="18" xfId="0" applyFont="1" applyBorder="1"/>
    <xf numFmtId="0" fontId="0" fillId="0" borderId="18" xfId="0" applyBorder="1"/>
    <xf numFmtId="0" fontId="16" fillId="0" borderId="0" xfId="0" applyFont="1"/>
    <xf numFmtId="0" fontId="30" fillId="0" borderId="0" xfId="0" applyFont="1"/>
    <xf numFmtId="167" fontId="17" fillId="0" borderId="0" xfId="2" applyNumberFormat="1" applyFont="1"/>
    <xf numFmtId="168" fontId="17" fillId="0" borderId="0" xfId="2" applyNumberFormat="1" applyFont="1"/>
    <xf numFmtId="167" fontId="17" fillId="0" borderId="0" xfId="2" applyNumberFormat="1" applyFont="1" applyAlignment="1"/>
    <xf numFmtId="168" fontId="17" fillId="0" borderId="0" xfId="2" applyNumberFormat="1" applyFont="1" applyAlignment="1"/>
    <xf numFmtId="0" fontId="29" fillId="0" borderId="18" xfId="0" applyFont="1" applyBorder="1" applyAlignment="1">
      <alignment vertical="center"/>
    </xf>
    <xf numFmtId="0" fontId="31" fillId="0" borderId="0" xfId="0" applyFont="1" applyAlignment="1">
      <alignment vertical="center"/>
    </xf>
    <xf numFmtId="0" fontId="33" fillId="0" borderId="0" xfId="0" applyFont="1"/>
    <xf numFmtId="0" fontId="25" fillId="5" borderId="19" xfId="0" applyFont="1" applyFill="1" applyBorder="1" applyAlignment="1">
      <alignment vertical="center" wrapText="1"/>
    </xf>
    <xf numFmtId="49" fontId="34" fillId="5" borderId="20" xfId="0" applyNumberFormat="1" applyFont="1" applyFill="1" applyBorder="1" applyAlignment="1">
      <alignment horizontal="center"/>
    </xf>
    <xf numFmtId="49" fontId="34" fillId="5" borderId="19" xfId="0" applyNumberFormat="1" applyFont="1" applyFill="1" applyBorder="1" applyAlignment="1">
      <alignment horizontal="center"/>
    </xf>
    <xf numFmtId="164" fontId="35" fillId="3" borderId="21" xfId="0" applyNumberFormat="1" applyFont="1" applyFill="1" applyBorder="1"/>
    <xf numFmtId="167" fontId="35" fillId="3" borderId="22" xfId="0" applyNumberFormat="1" applyFont="1" applyFill="1" applyBorder="1"/>
    <xf numFmtId="164" fontId="35" fillId="3" borderId="12" xfId="0" applyNumberFormat="1" applyFont="1" applyFill="1" applyBorder="1"/>
    <xf numFmtId="164" fontId="35" fillId="3" borderId="23" xfId="0" applyNumberFormat="1" applyFont="1" applyFill="1" applyBorder="1"/>
    <xf numFmtId="167" fontId="38" fillId="5" borderId="16" xfId="0" applyNumberFormat="1" applyFont="1" applyFill="1" applyBorder="1"/>
    <xf numFmtId="164" fontId="36" fillId="3" borderId="24" xfId="0" applyNumberFormat="1" applyFont="1" applyFill="1" applyBorder="1"/>
    <xf numFmtId="0" fontId="39" fillId="0" borderId="0" xfId="0" applyFont="1"/>
    <xf numFmtId="0" fontId="40" fillId="0" borderId="0" xfId="0" applyFont="1" applyAlignment="1">
      <alignment vertical="center"/>
    </xf>
    <xf numFmtId="0" fontId="40" fillId="0" borderId="0" xfId="0" applyFont="1" applyAlignment="1">
      <alignment vertical="center" wrapText="1"/>
    </xf>
    <xf numFmtId="167" fontId="32" fillId="0" borderId="25" xfId="0" quotePrefix="1" applyNumberFormat="1" applyFont="1" applyBorder="1" applyAlignment="1">
      <alignment horizontal="right"/>
    </xf>
    <xf numFmtId="0" fontId="42" fillId="0" borderId="18" xfId="0" applyFont="1" applyBorder="1" applyAlignment="1">
      <alignment vertical="center"/>
    </xf>
    <xf numFmtId="0" fontId="33" fillId="0" borderId="18" xfId="0" applyFont="1" applyBorder="1"/>
    <xf numFmtId="167" fontId="37" fillId="3" borderId="8" xfId="0" quotePrefix="1" applyNumberFormat="1" applyFont="1" applyFill="1" applyBorder="1" applyAlignment="1">
      <alignment horizontal="right"/>
    </xf>
    <xf numFmtId="167" fontId="34" fillId="5" borderId="22" xfId="0" applyNumberFormat="1" applyFont="1" applyFill="1" applyBorder="1"/>
    <xf numFmtId="167" fontId="35" fillId="3" borderId="22" xfId="0" applyNumberFormat="1" applyFont="1" applyFill="1" applyBorder="1" applyAlignment="1">
      <alignment horizontal="right"/>
    </xf>
    <xf numFmtId="0" fontId="15" fillId="0" borderId="0" xfId="4"/>
    <xf numFmtId="0" fontId="15" fillId="0" borderId="0" xfId="5"/>
    <xf numFmtId="169" fontId="0" fillId="0" borderId="0" xfId="6" applyNumberFormat="1" applyFont="1"/>
    <xf numFmtId="10" fontId="0" fillId="0" borderId="0" xfId="6" applyNumberFormat="1" applyFont="1"/>
    <xf numFmtId="49" fontId="14" fillId="0" borderId="0" xfId="4" applyNumberFormat="1" applyFont="1"/>
    <xf numFmtId="170" fontId="14" fillId="0" borderId="0" xfId="4" applyNumberFormat="1" applyFont="1"/>
    <xf numFmtId="171" fontId="14" fillId="0" borderId="0" xfId="4" applyNumberFormat="1" applyFont="1"/>
    <xf numFmtId="49" fontId="43" fillId="0" borderId="0" xfId="4" applyNumberFormat="1" applyFont="1"/>
    <xf numFmtId="0" fontId="45" fillId="0" borderId="0" xfId="5" applyFont="1"/>
    <xf numFmtId="0" fontId="14" fillId="0" borderId="0" xfId="4" applyFont="1"/>
    <xf numFmtId="0" fontId="4" fillId="0" borderId="0" xfId="0" applyFont="1"/>
    <xf numFmtId="0" fontId="25" fillId="5" borderId="5" xfId="0" applyFont="1" applyFill="1" applyBorder="1" applyAlignment="1">
      <alignment horizontal="center" vertical="center" wrapText="1"/>
    </xf>
    <xf numFmtId="0" fontId="25" fillId="5" borderId="26" xfId="0" applyFont="1" applyFill="1" applyBorder="1" applyAlignment="1">
      <alignment horizontal="center" vertical="center" wrapText="1"/>
    </xf>
    <xf numFmtId="0" fontId="25" fillId="5" borderId="27" xfId="0" applyFont="1" applyFill="1" applyBorder="1" applyAlignment="1">
      <alignment horizontal="center" vertical="center" wrapText="1"/>
    </xf>
    <xf numFmtId="0" fontId="25" fillId="5" borderId="28" xfId="0" applyFont="1" applyFill="1" applyBorder="1" applyAlignment="1">
      <alignment horizontal="center" vertical="center" wrapText="1"/>
    </xf>
    <xf numFmtId="0" fontId="33" fillId="0" borderId="10" xfId="0" applyFont="1" applyBorder="1" applyAlignment="1">
      <alignment vertical="center"/>
    </xf>
    <xf numFmtId="167" fontId="25" fillId="0" borderId="7" xfId="2" applyNumberFormat="1" applyFont="1" applyFill="1" applyBorder="1" applyAlignment="1">
      <alignment horizontal="right" vertical="center"/>
    </xf>
    <xf numFmtId="167" fontId="33" fillId="0" borderId="7" xfId="2" applyNumberFormat="1" applyFont="1" applyFill="1" applyBorder="1" applyAlignment="1">
      <alignment horizontal="right" vertical="center"/>
    </xf>
    <xf numFmtId="167" fontId="33" fillId="0" borderId="8" xfId="2" applyNumberFormat="1" applyFont="1" applyFill="1" applyBorder="1" applyAlignment="1">
      <alignment horizontal="right" vertical="center"/>
    </xf>
    <xf numFmtId="167" fontId="33" fillId="0" borderId="9" xfId="2" applyNumberFormat="1" applyFont="1" applyFill="1" applyBorder="1" applyAlignment="1">
      <alignment horizontal="right" vertical="center"/>
    </xf>
    <xf numFmtId="0" fontId="28" fillId="5" borderId="16" xfId="0" applyFont="1" applyFill="1" applyBorder="1" applyAlignment="1">
      <alignment horizontal="left" vertical="center" wrapText="1"/>
    </xf>
    <xf numFmtId="167" fontId="25" fillId="5" borderId="14" xfId="2" applyNumberFormat="1" applyFont="1" applyFill="1" applyBorder="1" applyAlignment="1" applyProtection="1">
      <alignment vertical="center" wrapText="1"/>
    </xf>
    <xf numFmtId="167" fontId="38" fillId="5" borderId="14" xfId="2" applyNumberFormat="1" applyFont="1" applyFill="1" applyBorder="1" applyAlignment="1">
      <alignment vertical="center"/>
    </xf>
    <xf numFmtId="167" fontId="38" fillId="5" borderId="15" xfId="2" applyNumberFormat="1" applyFont="1" applyFill="1" applyBorder="1" applyAlignment="1">
      <alignment vertical="center"/>
    </xf>
    <xf numFmtId="167" fontId="38" fillId="5" borderId="17" xfId="2" applyNumberFormat="1" applyFont="1" applyFill="1" applyBorder="1" applyAlignment="1">
      <alignment vertical="center"/>
    </xf>
    <xf numFmtId="167" fontId="33" fillId="0" borderId="0" xfId="2" applyNumberFormat="1" applyFont="1" applyFill="1" applyBorder="1"/>
    <xf numFmtId="167" fontId="25" fillId="0" borderId="0" xfId="2" applyNumberFormat="1" applyFont="1" applyFill="1" applyBorder="1"/>
    <xf numFmtId="167" fontId="18" fillId="0" borderId="0" xfId="2" applyNumberFormat="1" applyFont="1" applyFill="1" applyBorder="1"/>
    <xf numFmtId="0" fontId="46" fillId="0" borderId="0" xfId="0" applyFont="1" applyAlignment="1">
      <alignment vertical="center"/>
    </xf>
    <xf numFmtId="0" fontId="1" fillId="0" borderId="29" xfId="0" applyFont="1" applyBorder="1" applyAlignment="1">
      <alignment vertical="center" wrapText="1"/>
    </xf>
    <xf numFmtId="169" fontId="0" fillId="0" borderId="0" xfId="0" applyNumberFormat="1"/>
    <xf numFmtId="169" fontId="6" fillId="2" borderId="0" xfId="0" applyNumberFormat="1" applyFont="1" applyFill="1" applyAlignment="1">
      <alignment vertical="center" wrapText="1"/>
    </xf>
    <xf numFmtId="0" fontId="48" fillId="3" borderId="34" xfId="0" applyFont="1" applyFill="1" applyBorder="1" applyAlignment="1">
      <alignment horizontal="left" vertical="center"/>
    </xf>
    <xf numFmtId="3" fontId="0" fillId="6" borderId="29" xfId="0" applyNumberFormat="1" applyFill="1" applyBorder="1" applyAlignment="1">
      <alignment vertical="center" wrapText="1"/>
    </xf>
    <xf numFmtId="169" fontId="0" fillId="6" borderId="29" xfId="0" applyNumberFormat="1" applyFill="1" applyBorder="1" applyAlignment="1">
      <alignment vertical="center" wrapText="1"/>
    </xf>
    <xf numFmtId="169" fontId="0" fillId="6" borderId="30" xfId="0" applyNumberFormat="1" applyFill="1" applyBorder="1" applyAlignment="1">
      <alignment vertical="center" wrapText="1"/>
    </xf>
    <xf numFmtId="3" fontId="8" fillId="6" borderId="31" xfId="0" applyNumberFormat="1" applyFont="1" applyFill="1" applyBorder="1" applyAlignment="1">
      <alignment horizontal="right" vertical="center" wrapText="1"/>
    </xf>
    <xf numFmtId="169" fontId="8" fillId="6" borderId="31" xfId="0" applyNumberFormat="1" applyFont="1" applyFill="1" applyBorder="1" applyAlignment="1">
      <alignment horizontal="right" vertical="center" wrapText="1"/>
    </xf>
    <xf numFmtId="0" fontId="7" fillId="0" borderId="1" xfId="0" applyFont="1" applyBorder="1" applyAlignment="1">
      <alignment vertical="center" wrapText="1"/>
    </xf>
    <xf numFmtId="3" fontId="8" fillId="0" borderId="31" xfId="0" applyNumberFormat="1" applyFont="1" applyBorder="1" applyAlignment="1">
      <alignment horizontal="right" vertical="center" wrapText="1"/>
    </xf>
    <xf numFmtId="169" fontId="8" fillId="0" borderId="31" xfId="0" applyNumberFormat="1" applyFont="1" applyBorder="1" applyAlignment="1">
      <alignment horizontal="right" vertical="center" wrapText="1"/>
    </xf>
    <xf numFmtId="164" fontId="36" fillId="0" borderId="0" xfId="0" applyNumberFormat="1" applyFont="1"/>
    <xf numFmtId="167" fontId="37" fillId="0" borderId="0" xfId="0" quotePrefix="1" applyNumberFormat="1" applyFont="1" applyAlignment="1">
      <alignment horizontal="right"/>
    </xf>
    <xf numFmtId="3" fontId="8" fillId="0" borderId="1" xfId="0" applyNumberFormat="1" applyFont="1" applyBorder="1" applyAlignment="1">
      <alignment horizontal="right" vertical="center" wrapText="1"/>
    </xf>
    <xf numFmtId="169" fontId="8" fillId="0" borderId="1" xfId="0" applyNumberFormat="1" applyFont="1" applyBorder="1" applyAlignment="1">
      <alignment horizontal="right" vertical="center" wrapText="1"/>
    </xf>
    <xf numFmtId="49" fontId="14" fillId="0" borderId="34" xfId="0" applyNumberFormat="1" applyFont="1" applyBorder="1" applyAlignment="1">
      <alignment horizontal="left" vertical="center"/>
    </xf>
    <xf numFmtId="49" fontId="14" fillId="0" borderId="37" xfId="0" applyNumberFormat="1" applyFont="1" applyBorder="1" applyAlignment="1">
      <alignment horizontal="left" vertical="center"/>
    </xf>
    <xf numFmtId="167" fontId="44" fillId="0" borderId="0" xfId="7" applyNumberFormat="1" applyFont="1"/>
    <xf numFmtId="167" fontId="14" fillId="0" borderId="0" xfId="7" applyNumberFormat="1" applyFont="1"/>
    <xf numFmtId="0" fontId="48" fillId="3" borderId="0" xfId="0" applyFont="1" applyFill="1" applyAlignment="1">
      <alignment horizontal="left" vertical="center"/>
    </xf>
    <xf numFmtId="171" fontId="14" fillId="0" borderId="34" xfId="0" applyNumberFormat="1" applyFont="1" applyBorder="1" applyAlignment="1">
      <alignment horizontal="left" vertical="center"/>
    </xf>
    <xf numFmtId="167" fontId="14" fillId="0" borderId="0" xfId="7" applyNumberFormat="1" applyFont="1" applyFill="1"/>
    <xf numFmtId="0" fontId="9" fillId="0" borderId="0" xfId="0" applyFont="1" applyAlignment="1">
      <alignment vertical="center" wrapText="1"/>
    </xf>
    <xf numFmtId="0" fontId="17" fillId="6" borderId="0" xfId="0" applyFont="1" applyFill="1" applyAlignment="1">
      <alignment horizontal="left" wrapText="1"/>
    </xf>
    <xf numFmtId="0" fontId="22" fillId="6" borderId="0" xfId="0" applyFont="1" applyFill="1" applyAlignment="1">
      <alignment horizontal="left" wrapText="1"/>
    </xf>
    <xf numFmtId="0" fontId="24" fillId="4" borderId="5" xfId="0" applyFont="1" applyFill="1" applyBorder="1" applyAlignment="1">
      <alignment horizontal="center" vertical="center" wrapText="1"/>
    </xf>
    <xf numFmtId="0" fontId="17" fillId="0" borderId="0" xfId="0" applyFont="1" applyAlignment="1">
      <alignment horizontal="left" wrapText="1"/>
    </xf>
    <xf numFmtId="0" fontId="18" fillId="0" borderId="0" xfId="0" applyFont="1" applyAlignment="1">
      <alignment horizontal="left" wrapText="1"/>
    </xf>
    <xf numFmtId="0" fontId="24" fillId="4" borderId="19" xfId="0" applyFont="1" applyFill="1" applyBorder="1" applyAlignment="1">
      <alignment horizontal="center" vertical="center" wrapText="1"/>
    </xf>
    <xf numFmtId="0" fontId="24" fillId="4" borderId="32" xfId="0" applyFont="1" applyFill="1" applyBorder="1" applyAlignment="1">
      <alignment horizontal="center" vertical="center" wrapText="1"/>
    </xf>
    <xf numFmtId="0" fontId="24" fillId="4" borderId="33" xfId="0" applyFont="1" applyFill="1" applyBorder="1" applyAlignment="1">
      <alignment horizontal="center" vertical="center" wrapText="1"/>
    </xf>
    <xf numFmtId="0" fontId="18" fillId="0" borderId="0" xfId="0" applyFont="1" applyAlignment="1">
      <alignment wrapText="1"/>
    </xf>
    <xf numFmtId="0" fontId="40" fillId="0" borderId="0" xfId="0" applyFont="1" applyAlignment="1">
      <alignment horizontal="left" vertical="center" wrapText="1"/>
    </xf>
    <xf numFmtId="0" fontId="39" fillId="0" borderId="0" xfId="0" applyFont="1" applyAlignment="1">
      <alignment horizontal="left" wrapText="1"/>
    </xf>
    <xf numFmtId="0" fontId="47" fillId="0" borderId="35" xfId="0" applyFont="1" applyFill="1" applyBorder="1" applyAlignment="1">
      <alignment horizontal="left" vertical="center" wrapText="1"/>
    </xf>
    <xf numFmtId="0" fontId="49" fillId="0" borderId="34" xfId="0" applyFont="1" applyFill="1" applyBorder="1" applyAlignment="1">
      <alignment horizontal="left" vertical="center" wrapText="1"/>
    </xf>
    <xf numFmtId="0" fontId="48" fillId="0" borderId="34" xfId="0" applyFont="1" applyFill="1" applyBorder="1" applyAlignment="1">
      <alignment horizontal="left" vertical="center" wrapText="1"/>
    </xf>
    <xf numFmtId="0" fontId="47" fillId="0" borderId="36" xfId="0" applyFont="1" applyFill="1" applyBorder="1" applyAlignment="1">
      <alignment horizontal="left" vertical="center" wrapText="1"/>
    </xf>
    <xf numFmtId="172" fontId="49" fillId="0" borderId="34" xfId="0" applyNumberFormat="1" applyFont="1" applyFill="1" applyBorder="1" applyAlignment="1">
      <alignment horizontal="left" vertical="center"/>
    </xf>
    <xf numFmtId="3" fontId="49" fillId="0" borderId="34" xfId="0" applyNumberFormat="1" applyFont="1" applyFill="1" applyBorder="1" applyAlignment="1">
      <alignment horizontal="right" vertical="center"/>
    </xf>
    <xf numFmtId="165" fontId="49" fillId="0" borderId="34" xfId="0" applyNumberFormat="1" applyFont="1" applyFill="1" applyBorder="1" applyAlignment="1">
      <alignment horizontal="right" vertical="center"/>
    </xf>
    <xf numFmtId="172" fontId="48" fillId="0" borderId="34" xfId="0" applyNumberFormat="1" applyFont="1" applyFill="1" applyBorder="1" applyAlignment="1">
      <alignment horizontal="left" vertical="center"/>
    </xf>
    <xf numFmtId="0" fontId="48" fillId="0" borderId="34" xfId="0" applyFont="1" applyFill="1" applyBorder="1" applyAlignment="1">
      <alignment horizontal="right" vertical="center"/>
    </xf>
    <xf numFmtId="3" fontId="48" fillId="0" borderId="34" xfId="0" applyNumberFormat="1" applyFont="1" applyFill="1" applyBorder="1" applyAlignment="1">
      <alignment horizontal="right" vertical="center"/>
    </xf>
    <xf numFmtId="165" fontId="48" fillId="0" borderId="34" xfId="0" applyNumberFormat="1" applyFont="1" applyFill="1" applyBorder="1" applyAlignment="1">
      <alignment horizontal="right" vertical="center"/>
    </xf>
  </cellXfs>
  <cellStyles count="8">
    <cellStyle name="Comma" xfId="7" builtinId="3"/>
    <cellStyle name="Comma 2" xfId="2" xr:uid="{00000000-0005-0000-0000-000007000000}"/>
    <cellStyle name="Normal" xfId="0" builtinId="0"/>
    <cellStyle name="Normal 2 2" xfId="5" xr:uid="{00000000-0005-0000-0000-00000A000000}"/>
    <cellStyle name="Normal 3" xfId="1" xr:uid="{00000000-0005-0000-0000-000006000000}"/>
    <cellStyle name="Normal 4" xfId="4" xr:uid="{00000000-0005-0000-0000-000009000000}"/>
    <cellStyle name="Percent 2" xfId="3" xr:uid="{00000000-0005-0000-0000-000008000000}"/>
    <cellStyle name="Percent 3" xfId="6" xr:uid="{00000000-0005-0000-0000-00000B000000}"/>
  </cellStyles>
  <dxfs count="34">
    <dxf>
      <font>
        <b val="0"/>
        <i val="0"/>
        <strike val="0"/>
        <u val="none"/>
        <sz val="8"/>
        <color indexed="63"/>
        <name val="Tahoma"/>
      </font>
      <numFmt numFmtId="171" formatCode="&quot;$&quot;#,##0"/>
      <fill>
        <patternFill patternType="none"/>
      </fill>
    </dxf>
    <dxf>
      <font>
        <b val="0"/>
        <i val="0"/>
        <strike val="0"/>
        <u val="none"/>
        <sz val="8"/>
        <color indexed="63"/>
        <name val="Tahoma"/>
      </font>
      <numFmt numFmtId="171" formatCode="&quot;$&quot;#,##0"/>
      <fill>
        <patternFill patternType="none"/>
      </fill>
    </dxf>
    <dxf>
      <font>
        <b val="0"/>
        <i val="0"/>
        <strike val="0"/>
        <u val="none"/>
        <sz val="8"/>
        <color indexed="63"/>
        <name val="Tahoma"/>
        <family val="2"/>
        <scheme val="none"/>
      </font>
      <numFmt numFmtId="167" formatCode="_(* #,##0_);_(* \(#,##0\);_(* &quot;-&quot;??_);_(@_)"/>
      <fill>
        <patternFill patternType="none"/>
      </fill>
    </dxf>
    <dxf>
      <font>
        <sz val="8"/>
        <color indexed="63"/>
        <name val="Tahoma"/>
      </font>
      <numFmt numFmtId="171" formatCode="&quot;$&quot;#,##0"/>
      <fill>
        <patternFill patternType="none"/>
      </fill>
    </dxf>
    <dxf>
      <font>
        <b val="0"/>
        <i val="0"/>
        <strike val="0"/>
        <u val="none"/>
        <sz val="8"/>
        <color indexed="63"/>
        <name val="Tahoma"/>
      </font>
      <fill>
        <patternFill patternType="none"/>
      </fill>
    </dxf>
    <dxf>
      <font>
        <b val="0"/>
        <i val="0"/>
        <strike val="0"/>
        <u val="none"/>
        <sz val="8"/>
        <color indexed="63"/>
        <name val="Tahoma"/>
      </font>
      <fill>
        <patternFill patternType="none"/>
      </fill>
    </dxf>
    <dxf>
      <font>
        <strike val="0"/>
        <u val="none"/>
        <color theme="0"/>
      </font>
    </dxf>
    <dxf>
      <font>
        <b val="0"/>
        <i val="0"/>
        <strike val="0"/>
        <u val="none"/>
        <sz val="8"/>
        <color indexed="63"/>
        <name val="Tahoma"/>
      </font>
      <numFmt numFmtId="171" formatCode="&quot;$&quot;#,##0"/>
      <fill>
        <patternFill patternType="none"/>
      </fill>
    </dxf>
    <dxf>
      <font>
        <b val="0"/>
        <i val="0"/>
        <strike val="0"/>
        <u val="none"/>
        <sz val="8"/>
        <color indexed="63"/>
        <name val="Tahoma"/>
      </font>
      <numFmt numFmtId="171" formatCode="&quot;$&quot;#,##0"/>
      <fill>
        <patternFill patternType="none"/>
      </fill>
    </dxf>
    <dxf>
      <font>
        <b val="0"/>
        <i val="0"/>
        <strike val="0"/>
        <u val="none"/>
        <sz val="8"/>
        <color indexed="63"/>
        <name val="Tahoma"/>
      </font>
      <numFmt numFmtId="171" formatCode="&quot;$&quot;#,##0"/>
      <fill>
        <patternFill patternType="none"/>
      </fill>
    </dxf>
    <dxf>
      <font>
        <b val="0"/>
        <i val="0"/>
        <strike val="0"/>
        <u val="none"/>
        <sz val="8"/>
        <color indexed="63"/>
        <name val="Tahoma"/>
      </font>
      <numFmt numFmtId="30" formatCode="@"/>
      <fill>
        <patternFill patternType="none"/>
      </fill>
    </dxf>
    <dxf>
      <font>
        <b val="0"/>
        <i val="0"/>
        <strike val="0"/>
        <u val="none"/>
        <sz val="8"/>
        <color indexed="63"/>
        <name val="Tahoma"/>
      </font>
      <numFmt numFmtId="30" formatCode="@"/>
      <fill>
        <patternFill patternType="none"/>
      </fill>
    </dxf>
    <dxf>
      <font>
        <b val="0"/>
        <i val="0"/>
        <strike val="0"/>
        <u val="none"/>
        <sz val="8"/>
        <color theme="0"/>
        <name val="Tahoma"/>
      </font>
      <numFmt numFmtId="30" formatCode="@"/>
      <fill>
        <patternFill patternType="none"/>
      </fill>
    </dxf>
    <dxf>
      <font>
        <b val="0"/>
        <i val="0"/>
        <strike val="0"/>
        <u val="none"/>
        <sz val="11"/>
        <color rgb="FF333333"/>
        <name val="Calibri"/>
      </font>
      <numFmt numFmtId="169" formatCode="0.0%"/>
      <fill>
        <patternFill patternType="none">
          <fgColor indexed="64"/>
          <bgColor auto="1"/>
        </patternFill>
      </fill>
      <alignment horizontal="right" vertical="center" textRotation="0" wrapText="1" shrinkToFit="0" readingOrder="0"/>
      <border outline="0">
        <left/>
        <right/>
        <top style="medium">
          <color rgb="FF4F81BD"/>
        </top>
        <bottom/>
      </border>
    </dxf>
    <dxf>
      <font>
        <b val="0"/>
        <i val="0"/>
        <strike val="0"/>
        <u val="none"/>
        <sz val="11"/>
        <color rgb="FF333333"/>
        <name val="Calibri"/>
      </font>
      <numFmt numFmtId="3" formatCode="#,##0"/>
      <fill>
        <patternFill patternType="none">
          <fgColor indexed="64"/>
          <bgColor auto="1"/>
        </patternFill>
      </fill>
      <alignment horizontal="right" vertical="center" textRotation="0" wrapText="1" shrinkToFit="0" readingOrder="0"/>
      <border outline="0">
        <left/>
        <right/>
        <top style="medium">
          <color rgb="FF4F81BD"/>
        </top>
        <bottom/>
      </border>
    </dxf>
    <dxf>
      <font>
        <b/>
        <i val="0"/>
        <strike val="0"/>
        <u val="none"/>
        <sz val="11"/>
        <color rgb="FF333333"/>
        <name val="Calibri"/>
      </font>
      <fill>
        <patternFill patternType="solid">
          <bgColor rgb="FFFFFFFF"/>
        </patternFill>
      </fill>
      <alignment horizontal="general" vertical="center" textRotation="0" wrapText="1" shrinkToFit="0" readingOrder="0"/>
      <border outline="0">
        <left/>
        <right/>
        <top style="medium">
          <color rgb="FF4F81BD"/>
        </top>
        <bottom/>
      </border>
    </dxf>
    <dxf>
      <border>
        <left style="medium">
          <color rgb="FF4F81BD"/>
        </left>
        <right style="medium">
          <color rgb="FF4F81BD"/>
        </right>
        <top style="medium">
          <color rgb="FF4F81BD"/>
        </top>
        <bottom style="medium">
          <color rgb="FF4F81BD"/>
        </bottom>
      </border>
    </dxf>
    <dxf>
      <font>
        <b val="0"/>
        <i val="0"/>
        <strike val="0"/>
        <outline val="0"/>
        <shadow val="0"/>
        <u val="none"/>
        <vertAlign val="baseline"/>
        <sz val="11"/>
        <color rgb="FF333333"/>
        <name val="Calibri"/>
        <family val="2"/>
        <scheme val="minor"/>
      </font>
      <numFmt numFmtId="169" formatCode="0.0%"/>
      <fill>
        <patternFill patternType="none">
          <fgColor indexed="64"/>
          <bgColor auto="1"/>
        </patternFill>
      </fill>
      <alignment horizontal="right" vertical="center" textRotation="0" wrapText="1" shrinkToFit="0" readingOrder="0"/>
      <border outline="0">
        <left/>
        <right/>
        <top style="medium">
          <color rgb="FF4F81BD"/>
        </top>
        <bottom/>
      </border>
    </dxf>
    <dxf>
      <font>
        <b val="0"/>
        <i val="0"/>
        <strike val="0"/>
        <outline val="0"/>
        <shadow val="0"/>
        <u val="none"/>
        <vertAlign val="baseline"/>
        <sz val="11"/>
        <color rgb="FF333333"/>
        <name val="Calibri"/>
        <family val="2"/>
        <scheme val="minor"/>
      </font>
      <numFmt numFmtId="3" formatCode="#,##0"/>
      <fill>
        <patternFill patternType="none">
          <fgColor indexed="64"/>
          <bgColor auto="1"/>
        </patternFill>
      </fill>
      <alignment horizontal="right" vertical="center" textRotation="0" wrapText="1" shrinkToFit="0" readingOrder="0"/>
      <border outline="0">
        <left/>
        <right/>
        <top style="medium">
          <color rgb="FF4F81BD"/>
        </top>
        <bottom/>
      </border>
    </dxf>
    <dxf>
      <font>
        <b/>
        <i val="0"/>
        <strike val="0"/>
        <u val="none"/>
        <sz val="11"/>
        <color rgb="FF333333"/>
        <name val="Calibri"/>
      </font>
      <fill>
        <patternFill patternType="none">
          <fgColor indexed="64"/>
          <bgColor auto="1"/>
        </patternFill>
      </fill>
      <alignment horizontal="general" vertical="center" textRotation="0" wrapText="1" shrinkToFit="0" readingOrder="0"/>
      <border outline="0">
        <left/>
        <right/>
        <top style="medium">
          <color rgb="FF4F81BD"/>
        </top>
        <bottom/>
      </border>
    </dxf>
    <dxf>
      <border>
        <left style="medium">
          <color rgb="FF4F81BD"/>
        </left>
        <right style="medium">
          <color rgb="FF4F81BD"/>
        </right>
        <top style="medium">
          <color rgb="FF4F81BD"/>
        </top>
        <bottom style="medium">
          <color rgb="FF4F81BD"/>
        </bottom>
      </border>
    </dxf>
    <dxf>
      <fill>
        <patternFill patternType="none">
          <fgColor indexed="64"/>
          <bgColor auto="1"/>
        </patternFill>
      </fill>
    </dxf>
    <dxf>
      <font>
        <b val="0"/>
        <i val="0"/>
        <strike val="0"/>
        <u val="none"/>
        <sz val="11"/>
        <color rgb="FF333333"/>
        <name val="Calibri"/>
      </font>
      <numFmt numFmtId="169" formatCode="0.0%"/>
      <fill>
        <patternFill patternType="solid">
          <fgColor indexed="64"/>
          <bgColor theme="0"/>
        </patternFill>
      </fill>
      <alignment horizontal="right" vertical="center" textRotation="0" wrapText="1" shrinkToFit="0" readingOrder="0"/>
      <border outline="0">
        <left/>
        <right/>
        <top style="medium">
          <color rgb="FF4F81BD"/>
        </top>
        <bottom/>
      </border>
    </dxf>
    <dxf>
      <font>
        <b val="0"/>
        <i val="0"/>
        <strike val="0"/>
        <u val="none"/>
        <sz val="11"/>
        <color rgb="FF333333"/>
        <name val="Calibri"/>
      </font>
      <numFmt numFmtId="3" formatCode="#,##0"/>
      <fill>
        <patternFill patternType="solid">
          <fgColor indexed="64"/>
          <bgColor theme="0"/>
        </patternFill>
      </fill>
      <alignment horizontal="right" vertical="center" textRotation="0" wrapText="1" shrinkToFit="0" readingOrder="0"/>
      <border outline="0">
        <left/>
        <right/>
        <top style="medium">
          <color rgb="FF4F81BD"/>
        </top>
        <bottom/>
      </border>
    </dxf>
    <dxf>
      <font>
        <b/>
        <i val="0"/>
        <strike val="0"/>
        <u val="none"/>
        <sz val="11"/>
        <color rgb="FF333333"/>
        <name val="Calibri"/>
      </font>
      <fill>
        <patternFill patternType="solid">
          <bgColor rgb="FFFFFFFF"/>
        </patternFill>
      </fill>
      <alignment horizontal="general" vertical="center" textRotation="0" wrapText="1" shrinkToFit="0" readingOrder="0"/>
      <border outline="0">
        <left/>
        <right/>
        <top style="medium">
          <color rgb="FF4F81BD"/>
        </top>
        <bottom/>
      </border>
    </dxf>
    <dxf>
      <border>
        <left style="medium">
          <color rgb="FF4F81BD"/>
        </left>
        <right style="medium">
          <color rgb="FF4F81BD"/>
        </right>
        <top style="medium">
          <color rgb="FF4F81BD"/>
        </top>
        <bottom style="medium">
          <color rgb="FF4F81BD"/>
        </bottom>
      </border>
    </dxf>
    <dxf>
      <font>
        <b/>
        <i val="0"/>
        <strike val="0"/>
        <u val="none"/>
        <sz val="11"/>
        <color theme="1"/>
        <name val="Calibri"/>
      </font>
      <numFmt numFmtId="169" formatCode="0.0%"/>
      <fill>
        <patternFill patternType="solid">
          <fgColor indexed="64"/>
          <bgColor theme="0"/>
        </patternFill>
      </fill>
      <alignment horizontal="general" vertical="center" textRotation="0" wrapText="1" shrinkToFit="0" readingOrder="0"/>
    </dxf>
    <dxf>
      <font>
        <b/>
        <i val="0"/>
        <strike val="0"/>
        <u val="none"/>
        <sz val="11"/>
        <color theme="1"/>
        <name val="Calibri"/>
      </font>
      <numFmt numFmtId="3" formatCode="#,##0"/>
      <fill>
        <patternFill patternType="solid">
          <fgColor indexed="64"/>
          <bgColor theme="0"/>
        </patternFill>
      </fill>
      <alignment horizontal="general" vertical="center" textRotation="0" wrapText="1" shrinkToFit="0" readingOrder="0"/>
    </dxf>
    <dxf>
      <font>
        <b/>
        <i val="0"/>
        <strike val="0"/>
        <u val="none"/>
        <sz val="11"/>
        <color theme="1"/>
        <name val="Calibri"/>
      </font>
      <numFmt numFmtId="169" formatCode="0.0%"/>
      <fill>
        <patternFill patternType="solid">
          <fgColor indexed="64"/>
          <bgColor theme="0"/>
        </patternFill>
      </fill>
      <alignment horizontal="general" vertical="center" textRotation="0" wrapText="1" shrinkToFit="0" readingOrder="0"/>
    </dxf>
    <dxf>
      <font>
        <b/>
        <i val="0"/>
        <strike val="0"/>
        <u val="none"/>
        <sz val="11"/>
        <color theme="1"/>
        <name val="Calibri"/>
      </font>
      <numFmt numFmtId="3" formatCode="#,##0"/>
      <fill>
        <patternFill patternType="solid">
          <fgColor indexed="64"/>
          <bgColor theme="0"/>
        </patternFill>
      </fill>
      <alignment horizontal="general" vertical="center" textRotation="0" wrapText="1" shrinkToFit="0" readingOrder="0"/>
    </dxf>
    <dxf>
      <font>
        <b/>
        <i val="0"/>
        <strike val="0"/>
        <u val="none"/>
        <sz val="11"/>
        <color theme="1"/>
        <name val="Calibri"/>
      </font>
      <fill>
        <patternFill patternType="none"/>
      </fill>
      <alignment horizontal="general" vertical="center" textRotation="0" wrapText="1" shrinkToFit="0" readingOrder="0"/>
    </dxf>
    <dxf>
      <border>
        <left/>
        <right/>
        <top style="thin">
          <color theme="4" tint="-0.24994659260841701"/>
        </top>
        <bottom style="thin">
          <color theme="4" tint="-0.24994659260841701"/>
        </bottom>
      </border>
    </dxf>
    <dxf>
      <font>
        <strike val="0"/>
        <u val="none"/>
        <sz val="11"/>
        <color theme="1"/>
        <name val="Calibri"/>
      </font>
      <fill>
        <patternFill patternType="none"/>
      </fill>
    </dxf>
    <dxf>
      <font>
        <b/>
        <i val="0"/>
        <strike val="0"/>
        <u val="none"/>
        <sz val="11"/>
        <color theme="0"/>
        <name val="Calibri"/>
      </font>
      <fill>
        <patternFill patternType="solid">
          <bgColor rgb="FF4F81BD"/>
        </patternFill>
      </fill>
      <alignment horizontal="general" vertical="center" textRotation="0" wrapText="1"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425"/>
          <c:y val="5.1499999999999997E-2"/>
          <c:w val="0.82099999999999995"/>
          <c:h val="0.63275000000000003"/>
        </c:manualLayout>
      </c:layout>
      <c:barChart>
        <c:barDir val="col"/>
        <c:grouping val="stacked"/>
        <c:varyColors val="0"/>
        <c:ser>
          <c:idx val="1"/>
          <c:order val="1"/>
          <c:tx>
            <c:strRef>
              <c:f>'MCR Originations'!$C$3</c:f>
              <c:strCache>
                <c:ptCount val="1"/>
                <c:pt idx="0">
                  <c:v>Filing Quarter</c:v>
                </c:pt>
              </c:strCache>
            </c:strRef>
          </c:tx>
          <c:invertIfNegative val="0"/>
          <c:cat>
            <c:strRef>
              <c:f>'MCR Originations'!$A$4:$A$26</c:f>
              <c:strCache>
                <c:ptCount val="21"/>
                <c:pt idx="0">
                  <c:v>2020</c:v>
                </c:pt>
                <c:pt idx="1">
                  <c:v>2020</c:v>
                </c:pt>
                <c:pt idx="2">
                  <c:v>2020</c:v>
                </c:pt>
                <c:pt idx="3">
                  <c:v>2020</c:v>
                </c:pt>
                <c:pt idx="4">
                  <c:v>2021</c:v>
                </c:pt>
                <c:pt idx="5">
                  <c:v>2021</c:v>
                </c:pt>
                <c:pt idx="6">
                  <c:v>2021</c:v>
                </c:pt>
                <c:pt idx="7">
                  <c:v>2021</c:v>
                </c:pt>
                <c:pt idx="8">
                  <c:v>2022</c:v>
                </c:pt>
                <c:pt idx="9">
                  <c:v>2022</c:v>
                </c:pt>
                <c:pt idx="10">
                  <c:v>2022</c:v>
                </c:pt>
                <c:pt idx="11">
                  <c:v>2022</c:v>
                </c:pt>
                <c:pt idx="12">
                  <c:v>2023</c:v>
                </c:pt>
                <c:pt idx="13">
                  <c:v>2023</c:v>
                </c:pt>
                <c:pt idx="14">
                  <c:v>2023</c:v>
                </c:pt>
                <c:pt idx="15">
                  <c:v>2023</c:v>
                </c:pt>
                <c:pt idx="16">
                  <c:v>2024</c:v>
                </c:pt>
                <c:pt idx="17">
                  <c:v>2024</c:v>
                </c:pt>
                <c:pt idx="18">
                  <c:v>2024</c:v>
                </c:pt>
                <c:pt idx="19">
                  <c:v>2024</c:v>
                </c:pt>
                <c:pt idx="20">
                  <c:v>2025</c:v>
                </c:pt>
              </c:strCache>
            </c:strRef>
          </c:cat>
          <c:val>
            <c:numRef>
              <c:f>'MCR Originations'!$C$4:$C$26</c:f>
            </c:numRef>
          </c:val>
          <c:extLst>
            <c:ext xmlns:c16="http://schemas.microsoft.com/office/drawing/2014/chart" uri="{C3380CC4-5D6E-409C-BE32-E72D297353CC}">
              <c16:uniqueId val="{00000002-CED1-4159-8B41-DE1EC653B9AD}"/>
            </c:ext>
          </c:extLst>
        </c:ser>
        <c:ser>
          <c:idx val="2"/>
          <c:order val="2"/>
          <c:tx>
            <c:strRef>
              <c:f>'MCR Originations'!$D$3</c:f>
              <c:strCache>
                <c:ptCount val="1"/>
                <c:pt idx="0">
                  <c:v>Home Purchase</c:v>
                </c:pt>
              </c:strCache>
            </c:strRef>
          </c:tx>
          <c:spPr>
            <a:solidFill>
              <a:schemeClr val="tx2">
                <a:lumMod val="20000"/>
                <a:lumOff val="80000"/>
              </a:schemeClr>
            </a:solidFill>
            <a:ln w="6350">
              <a:noFill/>
            </a:ln>
            <a:effectLst/>
          </c:spPr>
          <c:invertIfNegative val="0"/>
          <c:cat>
            <c:strRef>
              <c:f>'MCR Originations'!$A$4:$A$26</c:f>
              <c:strCache>
                <c:ptCount val="21"/>
                <c:pt idx="0">
                  <c:v>2020</c:v>
                </c:pt>
                <c:pt idx="1">
                  <c:v>2020</c:v>
                </c:pt>
                <c:pt idx="2">
                  <c:v>2020</c:v>
                </c:pt>
                <c:pt idx="3">
                  <c:v>2020</c:v>
                </c:pt>
                <c:pt idx="4">
                  <c:v>2021</c:v>
                </c:pt>
                <c:pt idx="5">
                  <c:v>2021</c:v>
                </c:pt>
                <c:pt idx="6">
                  <c:v>2021</c:v>
                </c:pt>
                <c:pt idx="7">
                  <c:v>2021</c:v>
                </c:pt>
                <c:pt idx="8">
                  <c:v>2022</c:v>
                </c:pt>
                <c:pt idx="9">
                  <c:v>2022</c:v>
                </c:pt>
                <c:pt idx="10">
                  <c:v>2022</c:v>
                </c:pt>
                <c:pt idx="11">
                  <c:v>2022</c:v>
                </c:pt>
                <c:pt idx="12">
                  <c:v>2023</c:v>
                </c:pt>
                <c:pt idx="13">
                  <c:v>2023</c:v>
                </c:pt>
                <c:pt idx="14">
                  <c:v>2023</c:v>
                </c:pt>
                <c:pt idx="15">
                  <c:v>2023</c:v>
                </c:pt>
                <c:pt idx="16">
                  <c:v>2024</c:v>
                </c:pt>
                <c:pt idx="17">
                  <c:v>2024</c:v>
                </c:pt>
                <c:pt idx="18">
                  <c:v>2024</c:v>
                </c:pt>
                <c:pt idx="19">
                  <c:v>2024</c:v>
                </c:pt>
                <c:pt idx="20">
                  <c:v>2025</c:v>
                </c:pt>
              </c:strCache>
            </c:strRef>
          </c:cat>
          <c:val>
            <c:numRef>
              <c:f>'MCR Originations'!$D$4:$D$26</c:f>
              <c:numCache>
                <c:formatCode>"$"#,##0</c:formatCode>
                <c:ptCount val="21"/>
                <c:pt idx="0">
                  <c:v>151038464715</c:v>
                </c:pt>
                <c:pt idx="1">
                  <c:v>185834970238</c:v>
                </c:pt>
                <c:pt idx="2">
                  <c:v>271545152908</c:v>
                </c:pt>
                <c:pt idx="3">
                  <c:v>260716086828</c:v>
                </c:pt>
                <c:pt idx="4">
                  <c:v>314601426960</c:v>
                </c:pt>
                <c:pt idx="5">
                  <c:v>219373193417</c:v>
                </c:pt>
                <c:pt idx="6">
                  <c:v>316072147908</c:v>
                </c:pt>
                <c:pt idx="7">
                  <c:v>297591856977</c:v>
                </c:pt>
                <c:pt idx="8">
                  <c:v>178586652287</c:v>
                </c:pt>
                <c:pt idx="9">
                  <c:v>245947072001</c:v>
                </c:pt>
                <c:pt idx="10">
                  <c:v>287118683822</c:v>
                </c:pt>
                <c:pt idx="11">
                  <c:v>238982072166</c:v>
                </c:pt>
                <c:pt idx="12">
                  <c:v>171261329784</c:v>
                </c:pt>
                <c:pt idx="13">
                  <c:v>172619881784</c:v>
                </c:pt>
                <c:pt idx="14">
                  <c:v>215129508641</c:v>
                </c:pt>
                <c:pt idx="15">
                  <c:v>202773868736</c:v>
                </c:pt>
                <c:pt idx="16">
                  <c:v>162861201385</c:v>
                </c:pt>
                <c:pt idx="17">
                  <c:v>224282559040</c:v>
                </c:pt>
                <c:pt idx="18">
                  <c:v>219002084380</c:v>
                </c:pt>
                <c:pt idx="19">
                  <c:v>206290498684</c:v>
                </c:pt>
                <c:pt idx="20">
                  <c:v>165988511143</c:v>
                </c:pt>
              </c:numCache>
            </c:numRef>
          </c:val>
          <c:extLst>
            <c:ext xmlns:c16="http://schemas.microsoft.com/office/drawing/2014/chart" uri="{C3380CC4-5D6E-409C-BE32-E72D297353CC}">
              <c16:uniqueId val="{00000003-CED1-4159-8B41-DE1EC653B9AD}"/>
            </c:ext>
          </c:extLst>
        </c:ser>
        <c:ser>
          <c:idx val="3"/>
          <c:order val="3"/>
          <c:tx>
            <c:strRef>
              <c:f>'MCR Originations'!$E$3</c:f>
              <c:strCache>
                <c:ptCount val="1"/>
                <c:pt idx="0">
                  <c:v>Refinancing</c:v>
                </c:pt>
              </c:strCache>
            </c:strRef>
          </c:tx>
          <c:spPr>
            <a:solidFill>
              <a:schemeClr val="tx2">
                <a:lumMod val="60000"/>
                <a:lumOff val="40000"/>
              </a:schemeClr>
            </a:solidFill>
            <a:ln w="6350">
              <a:noFill/>
            </a:ln>
            <a:effectLst/>
          </c:spPr>
          <c:invertIfNegative val="0"/>
          <c:cat>
            <c:strRef>
              <c:f>'MCR Originations'!$A$4:$A$26</c:f>
              <c:strCache>
                <c:ptCount val="21"/>
                <c:pt idx="0">
                  <c:v>2020</c:v>
                </c:pt>
                <c:pt idx="1">
                  <c:v>2020</c:v>
                </c:pt>
                <c:pt idx="2">
                  <c:v>2020</c:v>
                </c:pt>
                <c:pt idx="3">
                  <c:v>2020</c:v>
                </c:pt>
                <c:pt idx="4">
                  <c:v>2021</c:v>
                </c:pt>
                <c:pt idx="5">
                  <c:v>2021</c:v>
                </c:pt>
                <c:pt idx="6">
                  <c:v>2021</c:v>
                </c:pt>
                <c:pt idx="7">
                  <c:v>2021</c:v>
                </c:pt>
                <c:pt idx="8">
                  <c:v>2022</c:v>
                </c:pt>
                <c:pt idx="9">
                  <c:v>2022</c:v>
                </c:pt>
                <c:pt idx="10">
                  <c:v>2022</c:v>
                </c:pt>
                <c:pt idx="11">
                  <c:v>2022</c:v>
                </c:pt>
                <c:pt idx="12">
                  <c:v>2023</c:v>
                </c:pt>
                <c:pt idx="13">
                  <c:v>2023</c:v>
                </c:pt>
                <c:pt idx="14">
                  <c:v>2023</c:v>
                </c:pt>
                <c:pt idx="15">
                  <c:v>2023</c:v>
                </c:pt>
                <c:pt idx="16">
                  <c:v>2024</c:v>
                </c:pt>
                <c:pt idx="17">
                  <c:v>2024</c:v>
                </c:pt>
                <c:pt idx="18">
                  <c:v>2024</c:v>
                </c:pt>
                <c:pt idx="19">
                  <c:v>2024</c:v>
                </c:pt>
                <c:pt idx="20">
                  <c:v>2025</c:v>
                </c:pt>
              </c:strCache>
            </c:strRef>
          </c:cat>
          <c:val>
            <c:numRef>
              <c:f>'MCR Originations'!$E$4:$E$26</c:f>
              <c:numCache>
                <c:formatCode>"$"#,##0</c:formatCode>
                <c:ptCount val="21"/>
                <c:pt idx="0">
                  <c:v>249883355055</c:v>
                </c:pt>
                <c:pt idx="1">
                  <c:v>397699561291</c:v>
                </c:pt>
                <c:pt idx="2">
                  <c:v>476415225210</c:v>
                </c:pt>
                <c:pt idx="3">
                  <c:v>553230462737</c:v>
                </c:pt>
                <c:pt idx="4">
                  <c:v>411286136949</c:v>
                </c:pt>
                <c:pt idx="5">
                  <c:v>563437539008</c:v>
                </c:pt>
                <c:pt idx="6">
                  <c:v>361986896762</c:v>
                </c:pt>
                <c:pt idx="7">
                  <c:v>305425162536</c:v>
                </c:pt>
                <c:pt idx="8">
                  <c:v>34579557665</c:v>
                </c:pt>
                <c:pt idx="9">
                  <c:v>65135010453</c:v>
                </c:pt>
                <c:pt idx="10">
                  <c:v>103929411317</c:v>
                </c:pt>
                <c:pt idx="11">
                  <c:v>202969088691</c:v>
                </c:pt>
                <c:pt idx="12">
                  <c:v>29609230651</c:v>
                </c:pt>
                <c:pt idx="13">
                  <c:v>29756524062</c:v>
                </c:pt>
                <c:pt idx="14">
                  <c:v>34358116852</c:v>
                </c:pt>
                <c:pt idx="15">
                  <c:v>34204235790</c:v>
                </c:pt>
                <c:pt idx="16">
                  <c:v>41162364461</c:v>
                </c:pt>
                <c:pt idx="17">
                  <c:v>43564035276</c:v>
                </c:pt>
                <c:pt idx="18">
                  <c:v>69424184764</c:v>
                </c:pt>
                <c:pt idx="19">
                  <c:v>90712268583</c:v>
                </c:pt>
                <c:pt idx="20">
                  <c:v>59555268855</c:v>
                </c:pt>
              </c:numCache>
            </c:numRef>
          </c:val>
          <c:extLst>
            <c:ext xmlns:c16="http://schemas.microsoft.com/office/drawing/2014/chart" uri="{C3380CC4-5D6E-409C-BE32-E72D297353CC}">
              <c16:uniqueId val="{00000004-CED1-4159-8B41-DE1EC653B9AD}"/>
            </c:ext>
          </c:extLst>
        </c:ser>
        <c:ser>
          <c:idx val="4"/>
          <c:order val="4"/>
          <c:tx>
            <c:strRef>
              <c:f>'MCR Originations'!$F$3</c:f>
              <c:strCache>
                <c:ptCount val="1"/>
                <c:pt idx="0">
                  <c:v>Home Improvement</c:v>
                </c:pt>
              </c:strCache>
            </c:strRef>
          </c:tx>
          <c:spPr>
            <a:solidFill>
              <a:schemeClr val="tx2">
                <a:lumMod val="75000"/>
              </a:schemeClr>
            </a:solidFill>
            <a:ln w="6350">
              <a:noFill/>
            </a:ln>
            <a:effectLst/>
          </c:spPr>
          <c:invertIfNegative val="0"/>
          <c:cat>
            <c:strRef>
              <c:f>'MCR Originations'!$A$4:$A$26</c:f>
              <c:strCache>
                <c:ptCount val="21"/>
                <c:pt idx="0">
                  <c:v>2020</c:v>
                </c:pt>
                <c:pt idx="1">
                  <c:v>2020</c:v>
                </c:pt>
                <c:pt idx="2">
                  <c:v>2020</c:v>
                </c:pt>
                <c:pt idx="3">
                  <c:v>2020</c:v>
                </c:pt>
                <c:pt idx="4">
                  <c:v>2021</c:v>
                </c:pt>
                <c:pt idx="5">
                  <c:v>2021</c:v>
                </c:pt>
                <c:pt idx="6">
                  <c:v>2021</c:v>
                </c:pt>
                <c:pt idx="7">
                  <c:v>2021</c:v>
                </c:pt>
                <c:pt idx="8">
                  <c:v>2022</c:v>
                </c:pt>
                <c:pt idx="9">
                  <c:v>2022</c:v>
                </c:pt>
                <c:pt idx="10">
                  <c:v>2022</c:v>
                </c:pt>
                <c:pt idx="11">
                  <c:v>2022</c:v>
                </c:pt>
                <c:pt idx="12">
                  <c:v>2023</c:v>
                </c:pt>
                <c:pt idx="13">
                  <c:v>2023</c:v>
                </c:pt>
                <c:pt idx="14">
                  <c:v>2023</c:v>
                </c:pt>
                <c:pt idx="15">
                  <c:v>2023</c:v>
                </c:pt>
                <c:pt idx="16">
                  <c:v>2024</c:v>
                </c:pt>
                <c:pt idx="17">
                  <c:v>2024</c:v>
                </c:pt>
                <c:pt idx="18">
                  <c:v>2024</c:v>
                </c:pt>
                <c:pt idx="19">
                  <c:v>2024</c:v>
                </c:pt>
                <c:pt idx="20">
                  <c:v>2025</c:v>
                </c:pt>
              </c:strCache>
            </c:strRef>
          </c:cat>
          <c:val>
            <c:numRef>
              <c:f>'MCR Originations'!$F$4:$F$26</c:f>
              <c:numCache>
                <c:formatCode>"$"#,##0</c:formatCode>
                <c:ptCount val="21"/>
                <c:pt idx="0">
                  <c:v>7769524822</c:v>
                </c:pt>
                <c:pt idx="1">
                  <c:v>12119142715</c:v>
                </c:pt>
                <c:pt idx="2">
                  <c:v>12915024509</c:v>
                </c:pt>
                <c:pt idx="3">
                  <c:v>16736792161</c:v>
                </c:pt>
                <c:pt idx="4">
                  <c:v>17517458279</c:v>
                </c:pt>
                <c:pt idx="5">
                  <c:v>18406907072</c:v>
                </c:pt>
                <c:pt idx="6">
                  <c:v>21478380391</c:v>
                </c:pt>
                <c:pt idx="7">
                  <c:v>23246609398</c:v>
                </c:pt>
                <c:pt idx="8">
                  <c:v>2869607917</c:v>
                </c:pt>
                <c:pt idx="9">
                  <c:v>5355093804</c:v>
                </c:pt>
                <c:pt idx="10">
                  <c:v>8701137353</c:v>
                </c:pt>
                <c:pt idx="11">
                  <c:v>15859884616</c:v>
                </c:pt>
                <c:pt idx="12">
                  <c:v>2527618723</c:v>
                </c:pt>
                <c:pt idx="13">
                  <c:v>2528229390</c:v>
                </c:pt>
                <c:pt idx="14">
                  <c:v>3088014831</c:v>
                </c:pt>
                <c:pt idx="15">
                  <c:v>3259997870</c:v>
                </c:pt>
                <c:pt idx="16">
                  <c:v>2637222971</c:v>
                </c:pt>
                <c:pt idx="17">
                  <c:v>3013256143</c:v>
                </c:pt>
                <c:pt idx="18">
                  <c:v>3549827465</c:v>
                </c:pt>
                <c:pt idx="19">
                  <c:v>3948206618</c:v>
                </c:pt>
                <c:pt idx="20">
                  <c:v>3560950241</c:v>
                </c:pt>
              </c:numCache>
            </c:numRef>
          </c:val>
          <c:extLst>
            <c:ext xmlns:c16="http://schemas.microsoft.com/office/drawing/2014/chart" uri="{C3380CC4-5D6E-409C-BE32-E72D297353CC}">
              <c16:uniqueId val="{00000005-CED1-4159-8B41-DE1EC653B9AD}"/>
            </c:ext>
          </c:extLst>
        </c:ser>
        <c:dLbls>
          <c:showLegendKey val="0"/>
          <c:showVal val="0"/>
          <c:showCatName val="0"/>
          <c:showSerName val="0"/>
          <c:showPercent val="0"/>
          <c:showBubbleSize val="0"/>
        </c:dLbls>
        <c:gapWidth val="75"/>
        <c:overlap val="100"/>
        <c:axId val="42616948"/>
        <c:axId val="24029478"/>
        <c:extLst>
          <c:ext xmlns:c15="http://schemas.microsoft.com/office/drawing/2012/chart" uri="{02D57815-91ED-43cb-92C2-25804820EDAC}">
            <c15:filteredBarSeries>
              <c15:ser>
                <c:idx val="0"/>
                <c:order val="0"/>
                <c:tx>
                  <c:strRef>
                    <c:extLst>
                      <c:ext uri="{02D57815-91ED-43cb-92C2-25804820EDAC}">
                        <c15:formulaRef>
                          <c15:sqref>'MCR Originations'!$B$3</c15:sqref>
                        </c15:formulaRef>
                      </c:ext>
                    </c:extLst>
                    <c:strCache>
                      <c:ptCount val="1"/>
                      <c:pt idx="0">
                        <c:v>Quarter</c:v>
                      </c:pt>
                    </c:strCache>
                  </c:strRef>
                </c:tx>
                <c:spPr>
                  <a:solidFill>
                    <a:schemeClr val="accent1"/>
                  </a:solidFill>
                  <a:ln>
                    <a:noFill/>
                  </a:ln>
                  <a:effectLst/>
                </c:spPr>
                <c:invertIfNegative val="0"/>
                <c:cat>
                  <c:strRef>
                    <c:extLst>
                      <c:ext uri="{02D57815-91ED-43cb-92C2-25804820EDAC}">
                        <c15:formulaRef>
                          <c15:sqref>'MCR Originations'!$A$4:$A$26</c15:sqref>
                        </c15:formulaRef>
                      </c:ext>
                    </c:extLst>
                    <c:strCache>
                      <c:ptCount val="21"/>
                      <c:pt idx="0">
                        <c:v>2020</c:v>
                      </c:pt>
                      <c:pt idx="1">
                        <c:v>2020</c:v>
                      </c:pt>
                      <c:pt idx="2">
                        <c:v>2020</c:v>
                      </c:pt>
                      <c:pt idx="3">
                        <c:v>2020</c:v>
                      </c:pt>
                      <c:pt idx="4">
                        <c:v>2021</c:v>
                      </c:pt>
                      <c:pt idx="5">
                        <c:v>2021</c:v>
                      </c:pt>
                      <c:pt idx="6">
                        <c:v>2021</c:v>
                      </c:pt>
                      <c:pt idx="7">
                        <c:v>2021</c:v>
                      </c:pt>
                      <c:pt idx="8">
                        <c:v>2022</c:v>
                      </c:pt>
                      <c:pt idx="9">
                        <c:v>2022</c:v>
                      </c:pt>
                      <c:pt idx="10">
                        <c:v>2022</c:v>
                      </c:pt>
                      <c:pt idx="11">
                        <c:v>2022</c:v>
                      </c:pt>
                      <c:pt idx="12">
                        <c:v>2023</c:v>
                      </c:pt>
                      <c:pt idx="13">
                        <c:v>2023</c:v>
                      </c:pt>
                      <c:pt idx="14">
                        <c:v>2023</c:v>
                      </c:pt>
                      <c:pt idx="15">
                        <c:v>2023</c:v>
                      </c:pt>
                      <c:pt idx="16">
                        <c:v>2024</c:v>
                      </c:pt>
                      <c:pt idx="17">
                        <c:v>2024</c:v>
                      </c:pt>
                      <c:pt idx="18">
                        <c:v>2024</c:v>
                      </c:pt>
                      <c:pt idx="19">
                        <c:v>2024</c:v>
                      </c:pt>
                      <c:pt idx="20">
                        <c:v>2025</c:v>
                      </c:pt>
                    </c:strCache>
                  </c:strRef>
                </c:cat>
                <c:val>
                  <c:numRef>
                    <c:extLst>
                      <c:ext uri="{02D57815-91ED-43cb-92C2-25804820EDAC}">
                        <c15:formulaRef>
                          <c15:sqref>'MCR Originations'!$B$4:$B$6</c15:sqref>
                        </c15:formulaRef>
                      </c:ext>
                    </c:extLst>
                    <c:numCache>
                      <c:formatCode>"$"#,##0</c:formatCode>
                      <c:ptCount val="3"/>
                      <c:pt idx="0">
                        <c:v>0</c:v>
                      </c:pt>
                      <c:pt idx="1">
                        <c:v>0</c:v>
                      </c:pt>
                      <c:pt idx="2">
                        <c:v>0</c:v>
                      </c:pt>
                    </c:numCache>
                  </c:numRef>
                </c:val>
                <c:extLst>
                  <c:ext xmlns:c16="http://schemas.microsoft.com/office/drawing/2014/chart" uri="{C3380CC4-5D6E-409C-BE32-E72D297353CC}">
                    <c16:uniqueId val="{00000003-706F-4AE2-AEA5-2CDD91E14E2A}"/>
                  </c:ext>
                </c:extLst>
              </c15:ser>
            </c15:filteredBarSeries>
          </c:ext>
        </c:extLst>
      </c:barChart>
      <c:catAx>
        <c:axId val="42616948"/>
        <c:scaling>
          <c:orientation val="minMax"/>
        </c:scaling>
        <c:delete val="0"/>
        <c:axPos val="b"/>
        <c:numFmt formatCode="General" sourceLinked="0"/>
        <c:majorTickMark val="out"/>
        <c:minorTickMark val="none"/>
        <c:tickLblPos val="nextTo"/>
        <c:spPr>
          <a:noFill/>
          <a:ln w="9525" cap="flat" cmpd="sng">
            <a:solidFill>
              <a:schemeClr val="tx1">
                <a:tint val="75000"/>
                <a:shade val="95000"/>
                <a:satMod val="105000"/>
              </a:schemeClr>
            </a:solidFill>
            <a:prstDash val="solid"/>
            <a:round/>
          </a:ln>
          <a:effectLst/>
        </c:spPr>
        <c:txPr>
          <a:bodyPr rot="0" spcFirstLastPara="1" vertOverflow="ellipsis" vert="horz" wrap="square" anchor="ctr" anchorCtr="1"/>
          <a:lstStyle/>
          <a:p>
            <a:pPr>
              <a:defRPr lang="en-US" sz="1000" b="0" i="0" u="none" kern="1200" baseline="0">
                <a:solidFill>
                  <a:schemeClr val="tx1"/>
                </a:solidFill>
                <a:latin typeface="+mn-lt"/>
                <a:ea typeface="+mn-ea"/>
                <a:cs typeface="+mn-cs"/>
              </a:defRPr>
            </a:pPr>
            <a:endParaRPr lang="en-US"/>
          </a:p>
        </c:txPr>
        <c:crossAx val="24029478"/>
        <c:crosses val="autoZero"/>
        <c:auto val="1"/>
        <c:lblAlgn val="ctr"/>
        <c:lblOffset val="100"/>
        <c:tickLblSkip val="4"/>
        <c:tickMarkSkip val="4"/>
        <c:noMultiLvlLbl val="0"/>
      </c:catAx>
      <c:valAx>
        <c:axId val="24029478"/>
        <c:scaling>
          <c:orientation val="minMax"/>
        </c:scaling>
        <c:delete val="0"/>
        <c:axPos val="l"/>
        <c:numFmt formatCode="&quot;$&quot;#,##0" sourceLinked="1"/>
        <c:majorTickMark val="out"/>
        <c:minorTickMark val="none"/>
        <c:tickLblPos val="nextTo"/>
        <c:spPr>
          <a:noFill/>
          <a:ln w="9525" cap="flat" cmpd="sng">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lang="en-US" sz="1000" b="0" i="0" u="none" kern="1200" baseline="0">
                <a:solidFill>
                  <a:schemeClr val="tx1"/>
                </a:solidFill>
                <a:latin typeface="+mn-lt"/>
                <a:ea typeface="+mn-ea"/>
                <a:cs typeface="+mn-cs"/>
              </a:defRPr>
            </a:pPr>
            <a:endParaRPr lang="en-US"/>
          </a:p>
        </c:txPr>
        <c:crossAx val="42616948"/>
        <c:crosses val="autoZero"/>
        <c:crossBetween val="between"/>
        <c:majorUnit val="100000000000"/>
        <c:dispUnits>
          <c:builtInUnit val="billions"/>
          <c:dispUnitsLbl>
            <c:layout>
              <c:manualLayout>
                <c:xMode val="edge"/>
                <c:yMode val="edge"/>
                <c:x val="3.3250000000000002E-2"/>
                <c:y val="0.13475000000000001"/>
              </c:manualLayout>
            </c:layout>
            <c:spPr>
              <a:noFill/>
              <a:ln w="6350">
                <a:noFill/>
              </a:ln>
              <a:effectLst/>
            </c:spPr>
            <c:txPr>
              <a:bodyPr rot="-5400000" vert="horz" wrap="square"/>
              <a:lstStyle/>
              <a:p>
                <a:pPr>
                  <a:defRPr lang="en-US" sz="1000" b="1" i="0" u="none" kern="1200" baseline="0">
                    <a:solidFill>
                      <a:schemeClr val="tx1"/>
                    </a:solidFill>
                    <a:latin typeface="+mn-lt"/>
                    <a:ea typeface="+mn-ea"/>
                    <a:cs typeface="+mn-cs"/>
                  </a:defRPr>
                </a:pPr>
                <a:endParaRPr lang="en-US"/>
              </a:p>
            </c:txPr>
          </c:dispUnitsLbl>
        </c:dispUnits>
      </c:valAx>
      <c:spPr>
        <a:noFill/>
        <a:ln w="6350">
          <a:noFill/>
        </a:ln>
        <a:effectLst/>
      </c:spPr>
    </c:plotArea>
    <c:legend>
      <c:legendPos val="b"/>
      <c:overlay val="0"/>
      <c:spPr>
        <a:noFill/>
        <a:ln w="6350">
          <a:noFill/>
        </a:ln>
        <a:effectLst/>
      </c:spPr>
      <c:txPr>
        <a:bodyPr rot="0" spcFirstLastPara="1" vertOverflow="ellipsis" vert="horz" wrap="square" anchor="ctr" anchorCtr="1"/>
        <a:lstStyle/>
        <a:p>
          <a:pPr algn="ctr">
            <a:defRPr lang="en-US" sz="1000" b="0" i="0" u="non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6350" cap="flat" cmpd="sng">
      <a:solidFill>
        <a:schemeClr val="tx1">
          <a:tint val="75000"/>
        </a:schemeClr>
      </a:solidFill>
      <a:prstDash val="solid"/>
      <a:roun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wrap="square"/>
          <a:lstStyle/>
          <a:p>
            <a:pPr algn="ctr">
              <a:defRPr/>
            </a:pPr>
            <a:r>
              <a:rPr lang="en-US" u="none" baseline="0">
                <a:solidFill>
                  <a:schemeClr val="tx1"/>
                </a:solidFill>
                <a:latin typeface="Calibri"/>
                <a:ea typeface="Calibri"/>
              </a:rPr>
              <a:t>Number of Active MLOs for State-Licensed Companies</a:t>
            </a:r>
          </a:p>
        </c:rich>
      </c:tx>
      <c:overlay val="0"/>
      <c:spPr>
        <a:noFill/>
        <a:ln w="6350">
          <a:noFill/>
        </a:ln>
        <a:effectLst/>
      </c:spPr>
    </c:title>
    <c:autoTitleDeleted val="0"/>
    <c:plotArea>
      <c:layout/>
      <c:lineChart>
        <c:grouping val="standard"/>
        <c:varyColors val="0"/>
        <c:ser>
          <c:idx val="0"/>
          <c:order val="0"/>
          <c:tx>
            <c:strRef>
              <c:f>'MCR MLOs'!$B$4</c:f>
              <c:strCache>
                <c:ptCount val="1"/>
                <c:pt idx="0">
                  <c:v>Quarter</c:v>
                </c:pt>
              </c:strCache>
            </c:strRef>
          </c:tx>
          <c:marker>
            <c:symbol val="none"/>
          </c:marker>
          <c:cat>
            <c:strRef>
              <c:f>'MCR MLOs'!$A$5:$A$25</c:f>
              <c:strCache>
                <c:ptCount val="21"/>
                <c:pt idx="0">
                  <c:v>2020</c:v>
                </c:pt>
                <c:pt idx="1">
                  <c:v>2020</c:v>
                </c:pt>
                <c:pt idx="2">
                  <c:v>2020</c:v>
                </c:pt>
                <c:pt idx="3">
                  <c:v>2020</c:v>
                </c:pt>
                <c:pt idx="4">
                  <c:v>2021</c:v>
                </c:pt>
                <c:pt idx="5">
                  <c:v>2021</c:v>
                </c:pt>
                <c:pt idx="6">
                  <c:v>2021</c:v>
                </c:pt>
                <c:pt idx="7">
                  <c:v>2021</c:v>
                </c:pt>
                <c:pt idx="8">
                  <c:v>2022</c:v>
                </c:pt>
                <c:pt idx="9">
                  <c:v>2022</c:v>
                </c:pt>
                <c:pt idx="10">
                  <c:v>2022</c:v>
                </c:pt>
                <c:pt idx="11">
                  <c:v>2022</c:v>
                </c:pt>
                <c:pt idx="12">
                  <c:v>2023</c:v>
                </c:pt>
                <c:pt idx="13">
                  <c:v>2023</c:v>
                </c:pt>
                <c:pt idx="14">
                  <c:v>2023</c:v>
                </c:pt>
                <c:pt idx="15">
                  <c:v>2023</c:v>
                </c:pt>
                <c:pt idx="16">
                  <c:v>2024</c:v>
                </c:pt>
                <c:pt idx="17">
                  <c:v>2024</c:v>
                </c:pt>
                <c:pt idx="18">
                  <c:v>2024</c:v>
                </c:pt>
                <c:pt idx="19">
                  <c:v>2024</c:v>
                </c:pt>
                <c:pt idx="20">
                  <c:v>2025</c:v>
                </c:pt>
              </c:strCache>
            </c:strRef>
          </c:cat>
          <c:val>
            <c:numRef>
              <c:f>'MCR MLOs'!$B$5:$B$25</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smooth val="0"/>
          <c:extLst>
            <c:ext xmlns:c16="http://schemas.microsoft.com/office/drawing/2014/chart" uri="{C3380CC4-5D6E-409C-BE32-E72D297353CC}">
              <c16:uniqueId val="{00000002-00F1-44EE-BAB1-54C18B167861}"/>
            </c:ext>
          </c:extLst>
        </c:ser>
        <c:ser>
          <c:idx val="1"/>
          <c:order val="1"/>
          <c:tx>
            <c:strRef>
              <c:f>'MCR MLOs'!$C$4</c:f>
              <c:strCache>
                <c:ptCount val="1"/>
                <c:pt idx="0">
                  <c:v>Filing Quarter</c:v>
                </c:pt>
              </c:strCache>
            </c:strRef>
          </c:tx>
          <c:marker>
            <c:symbol val="none"/>
          </c:marker>
          <c:cat>
            <c:strRef>
              <c:f>'MCR MLOs'!$A$5:$A$25</c:f>
              <c:strCache>
                <c:ptCount val="21"/>
                <c:pt idx="0">
                  <c:v>2020</c:v>
                </c:pt>
                <c:pt idx="1">
                  <c:v>2020</c:v>
                </c:pt>
                <c:pt idx="2">
                  <c:v>2020</c:v>
                </c:pt>
                <c:pt idx="3">
                  <c:v>2020</c:v>
                </c:pt>
                <c:pt idx="4">
                  <c:v>2021</c:v>
                </c:pt>
                <c:pt idx="5">
                  <c:v>2021</c:v>
                </c:pt>
                <c:pt idx="6">
                  <c:v>2021</c:v>
                </c:pt>
                <c:pt idx="7">
                  <c:v>2021</c:v>
                </c:pt>
                <c:pt idx="8">
                  <c:v>2022</c:v>
                </c:pt>
                <c:pt idx="9">
                  <c:v>2022</c:v>
                </c:pt>
                <c:pt idx="10">
                  <c:v>2022</c:v>
                </c:pt>
                <c:pt idx="11">
                  <c:v>2022</c:v>
                </c:pt>
                <c:pt idx="12">
                  <c:v>2023</c:v>
                </c:pt>
                <c:pt idx="13">
                  <c:v>2023</c:v>
                </c:pt>
                <c:pt idx="14">
                  <c:v>2023</c:v>
                </c:pt>
                <c:pt idx="15">
                  <c:v>2023</c:v>
                </c:pt>
                <c:pt idx="16">
                  <c:v>2024</c:v>
                </c:pt>
                <c:pt idx="17">
                  <c:v>2024</c:v>
                </c:pt>
                <c:pt idx="18">
                  <c:v>2024</c:v>
                </c:pt>
                <c:pt idx="19">
                  <c:v>2024</c:v>
                </c:pt>
                <c:pt idx="20">
                  <c:v>2025</c:v>
                </c:pt>
              </c:strCache>
            </c:strRef>
          </c:cat>
          <c:val>
            <c:numRef>
              <c:f>'MCR MLOs'!$C$5:$C$25</c:f>
            </c:numRef>
          </c:val>
          <c:smooth val="0"/>
          <c:extLst>
            <c:ext xmlns:c16="http://schemas.microsoft.com/office/drawing/2014/chart" uri="{C3380CC4-5D6E-409C-BE32-E72D297353CC}">
              <c16:uniqueId val="{00000000-00F1-44EE-BAB1-54C18B167861}"/>
            </c:ext>
          </c:extLst>
        </c:ser>
        <c:ser>
          <c:idx val="2"/>
          <c:order val="2"/>
          <c:tx>
            <c:strRef>
              <c:f>'MCR MLOs'!$D$4</c:f>
              <c:strCache>
                <c:ptCount val="1"/>
                <c:pt idx="0">
                  <c:v> Active MLOs </c:v>
                </c:pt>
              </c:strCache>
            </c:strRef>
          </c:tx>
          <c:spPr>
            <a:ln w="19050" cmpd="sng">
              <a:solidFill>
                <a:schemeClr val="tx2">
                  <a:lumMod val="60000"/>
                  <a:lumOff val="40000"/>
                </a:schemeClr>
              </a:solidFill>
            </a:ln>
            <a:effectLst/>
          </c:spPr>
          <c:marker>
            <c:symbol val="none"/>
          </c:marker>
          <c:cat>
            <c:strRef>
              <c:f>'MCR MLOs'!$A$5:$A$25</c:f>
              <c:strCache>
                <c:ptCount val="21"/>
                <c:pt idx="0">
                  <c:v>2020</c:v>
                </c:pt>
                <c:pt idx="1">
                  <c:v>2020</c:v>
                </c:pt>
                <c:pt idx="2">
                  <c:v>2020</c:v>
                </c:pt>
                <c:pt idx="3">
                  <c:v>2020</c:v>
                </c:pt>
                <c:pt idx="4">
                  <c:v>2021</c:v>
                </c:pt>
                <c:pt idx="5">
                  <c:v>2021</c:v>
                </c:pt>
                <c:pt idx="6">
                  <c:v>2021</c:v>
                </c:pt>
                <c:pt idx="7">
                  <c:v>2021</c:v>
                </c:pt>
                <c:pt idx="8">
                  <c:v>2022</c:v>
                </c:pt>
                <c:pt idx="9">
                  <c:v>2022</c:v>
                </c:pt>
                <c:pt idx="10">
                  <c:v>2022</c:v>
                </c:pt>
                <c:pt idx="11">
                  <c:v>2022</c:v>
                </c:pt>
                <c:pt idx="12">
                  <c:v>2023</c:v>
                </c:pt>
                <c:pt idx="13">
                  <c:v>2023</c:v>
                </c:pt>
                <c:pt idx="14">
                  <c:v>2023</c:v>
                </c:pt>
                <c:pt idx="15">
                  <c:v>2023</c:v>
                </c:pt>
                <c:pt idx="16">
                  <c:v>2024</c:v>
                </c:pt>
                <c:pt idx="17">
                  <c:v>2024</c:v>
                </c:pt>
                <c:pt idx="18">
                  <c:v>2024</c:v>
                </c:pt>
                <c:pt idx="19">
                  <c:v>2024</c:v>
                </c:pt>
                <c:pt idx="20">
                  <c:v>2025</c:v>
                </c:pt>
              </c:strCache>
            </c:strRef>
          </c:cat>
          <c:val>
            <c:numRef>
              <c:f>'MCR MLOs'!$D$5:$D$25</c:f>
              <c:numCache>
                <c:formatCode>_(* #,##0_);_(* \(#,##0\);_(* "-"??_);_(@_)</c:formatCode>
                <c:ptCount val="21"/>
                <c:pt idx="0">
                  <c:v>94419</c:v>
                </c:pt>
                <c:pt idx="1">
                  <c:v>99501</c:v>
                </c:pt>
                <c:pt idx="2">
                  <c:v>105994</c:v>
                </c:pt>
                <c:pt idx="3">
                  <c:v>112559</c:v>
                </c:pt>
                <c:pt idx="4">
                  <c:v>117789</c:v>
                </c:pt>
                <c:pt idx="5">
                  <c:v>121245</c:v>
                </c:pt>
                <c:pt idx="6">
                  <c:v>123942</c:v>
                </c:pt>
                <c:pt idx="7">
                  <c:v>124805</c:v>
                </c:pt>
                <c:pt idx="8">
                  <c:v>120157</c:v>
                </c:pt>
                <c:pt idx="9">
                  <c:v>115270</c:v>
                </c:pt>
                <c:pt idx="10">
                  <c:v>105507</c:v>
                </c:pt>
                <c:pt idx="11">
                  <c:v>94091</c:v>
                </c:pt>
                <c:pt idx="12">
                  <c:v>86670</c:v>
                </c:pt>
                <c:pt idx="13">
                  <c:v>90853</c:v>
                </c:pt>
                <c:pt idx="14">
                  <c:v>89296</c:v>
                </c:pt>
                <c:pt idx="15">
                  <c:v>83580</c:v>
                </c:pt>
                <c:pt idx="16">
                  <c:v>82484</c:v>
                </c:pt>
                <c:pt idx="17">
                  <c:v>87476</c:v>
                </c:pt>
                <c:pt idx="18">
                  <c:v>88330</c:v>
                </c:pt>
                <c:pt idx="19">
                  <c:v>87475</c:v>
                </c:pt>
                <c:pt idx="20">
                  <c:v>82487</c:v>
                </c:pt>
              </c:numCache>
            </c:numRef>
          </c:val>
          <c:smooth val="0"/>
          <c:extLst>
            <c:ext xmlns:c16="http://schemas.microsoft.com/office/drawing/2014/chart" uri="{C3380CC4-5D6E-409C-BE32-E72D297353CC}">
              <c16:uniqueId val="{00000000-C202-486E-AB3A-CA9169F0235B}"/>
            </c:ext>
          </c:extLst>
        </c:ser>
        <c:dLbls>
          <c:showLegendKey val="0"/>
          <c:showVal val="0"/>
          <c:showCatName val="0"/>
          <c:showSerName val="0"/>
          <c:showPercent val="0"/>
          <c:showBubbleSize val="0"/>
        </c:dLbls>
        <c:smooth val="0"/>
        <c:axId val="9321449"/>
        <c:axId val="9377166"/>
      </c:lineChart>
      <c:catAx>
        <c:axId val="9321449"/>
        <c:scaling>
          <c:orientation val="minMax"/>
        </c:scaling>
        <c:delete val="0"/>
        <c:axPos val="b"/>
        <c:numFmt formatCode="General" sourceLinked="0"/>
        <c:majorTickMark val="out"/>
        <c:minorTickMark val="none"/>
        <c:tickLblPos val="nextTo"/>
        <c:spPr>
          <a:ln w="6350" cap="flat" cmpd="sng"/>
          <a:effectLst/>
        </c:spPr>
        <c:txPr>
          <a:bodyPr rot="0" vert="horz" wrap="square"/>
          <a:lstStyle/>
          <a:p>
            <a:pPr>
              <a:defRPr lang="en-US" sz="1000" u="none" baseline="0">
                <a:solidFill>
                  <a:schemeClr val="tx1"/>
                </a:solidFill>
                <a:latin typeface="Calibri"/>
                <a:ea typeface="Calibri"/>
                <a:cs typeface="Calibri"/>
              </a:defRPr>
            </a:pPr>
            <a:endParaRPr lang="en-US"/>
          </a:p>
        </c:txPr>
        <c:crossAx val="9377166"/>
        <c:crosses val="autoZero"/>
        <c:auto val="1"/>
        <c:lblAlgn val="ctr"/>
        <c:lblOffset val="100"/>
        <c:tickLblSkip val="4"/>
        <c:tickMarkSkip val="4"/>
        <c:noMultiLvlLbl val="0"/>
      </c:catAx>
      <c:valAx>
        <c:axId val="9377166"/>
        <c:scaling>
          <c:orientation val="minMax"/>
        </c:scaling>
        <c:delete val="0"/>
        <c:axPos val="l"/>
        <c:majorGridlines>
          <c:spPr>
            <a:ln w="6350">
              <a:noFill/>
            </a:ln>
            <a:effectLst/>
          </c:spPr>
        </c:majorGridlines>
        <c:title>
          <c:tx>
            <c:rich>
              <a:bodyPr rot="-5400000" vert="horz" wrap="square"/>
              <a:lstStyle/>
              <a:p>
                <a:pPr algn="ctr">
                  <a:defRPr lang="en-US" sz="1000" u="none" baseline="0">
                    <a:solidFill>
                      <a:schemeClr val="tx1"/>
                    </a:solidFill>
                    <a:latin typeface="Calibri"/>
                    <a:ea typeface="Calibri"/>
                  </a:defRPr>
                </a:pPr>
                <a:r>
                  <a:rPr lang="en-US"/>
                  <a:t>Thousands</a:t>
                </a:r>
              </a:p>
            </c:rich>
          </c:tx>
          <c:overlay val="0"/>
          <c:spPr>
            <a:noFill/>
            <a:ln w="6350">
              <a:noFill/>
            </a:ln>
            <a:effectLst/>
          </c:spPr>
        </c:title>
        <c:numFmt formatCode="General" sourceLinked="1"/>
        <c:majorTickMark val="out"/>
        <c:minorTickMark val="none"/>
        <c:tickLblPos val="nextTo"/>
        <c:spPr>
          <a:ln w="6350" cap="flat" cmpd="sng"/>
          <a:effectLst/>
        </c:spPr>
        <c:txPr>
          <a:bodyPr wrap="square"/>
          <a:lstStyle/>
          <a:p>
            <a:pPr>
              <a:defRPr lang="en-US" sz="1000" u="none" baseline="0">
                <a:solidFill>
                  <a:schemeClr val="tx1"/>
                </a:solidFill>
                <a:latin typeface="Calibri"/>
                <a:ea typeface="Calibri"/>
                <a:cs typeface="Calibri"/>
              </a:defRPr>
            </a:pPr>
            <a:endParaRPr lang="en-US"/>
          </a:p>
        </c:txPr>
        <c:crossAx val="9321449"/>
        <c:crosses val="autoZero"/>
        <c:crossBetween val="between"/>
        <c:majorUnit val="20000"/>
        <c:dispUnits>
          <c:builtInUnit val="thousands"/>
        </c:dispUnits>
      </c:valAx>
    </c:plotArea>
    <c:plotVisOnly val="1"/>
    <c:dispBlanksAs val="gap"/>
    <c:showDLblsOverMax val="0"/>
  </c:chart>
  <c:txPr>
    <a:bodyPr rot="0" vert="horz" wrap="square"/>
    <a:lstStyle/>
    <a:p>
      <a:pPr>
        <a:defRPr lang="en-US" sz="1200" u="none" baseline="0">
          <a:solidFill>
            <a:schemeClr val="tx1"/>
          </a:solidFill>
          <a:latin typeface="Calibri"/>
          <a:ea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2743200</xdr:colOff>
      <xdr:row>1</xdr:row>
      <xdr:rowOff>333375</xdr:rowOff>
    </xdr:from>
    <xdr:to>
      <xdr:col>0</xdr:col>
      <xdr:colOff>4267200</xdr:colOff>
      <xdr:row>7</xdr:row>
      <xdr:rowOff>47624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bwMode="auto">
        <a:xfrm>
          <a:off x="2743200" y="714375"/>
          <a:ext cx="1524000" cy="1038225"/>
        </a:xfrm>
        <a:prstGeom prst="rect">
          <a:avLst/>
        </a:prstGeom>
        <a:noFill/>
        <a:ln w="9525">
          <a:noFill/>
          <a:miter lim="800000"/>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9525</xdr:colOff>
      <xdr:row>21</xdr:row>
      <xdr:rowOff>0</xdr:rowOff>
    </xdr:from>
    <xdr:to>
      <xdr:col>14</xdr:col>
      <xdr:colOff>314325</xdr:colOff>
      <xdr:row>33</xdr:row>
      <xdr:rowOff>28575</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111124</xdr:colOff>
      <xdr:row>1</xdr:row>
      <xdr:rowOff>171450</xdr:rowOff>
    </xdr:from>
    <xdr:to>
      <xdr:col>16</xdr:col>
      <xdr:colOff>6350</xdr:colOff>
      <xdr:row>21</xdr:row>
      <xdr:rowOff>171450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E6" totalsRowShown="0" headerRowDxfId="33" dataDxfId="32" tableBorderDxfId="31">
  <autoFilter ref="A3:E6" xr:uid="{00000000-0009-0000-0100-000001000000}">
    <filterColumn colId="0" hiddenButton="1"/>
    <filterColumn colId="1" hiddenButton="1"/>
    <filterColumn colId="2" hiddenButton="1"/>
    <filterColumn colId="3" hiddenButton="1"/>
    <filterColumn colId="4" hiddenButton="1"/>
  </autoFilter>
  <tableColumns count="5">
    <tableColumn id="1" xr3:uid="{00000000-0010-0000-0000-000001000000}" name="Type" dataDxfId="30"/>
    <tableColumn id="2" xr3:uid="{00000000-0010-0000-0000-000002000000}" name="Unique Entities" dataDxfId="29"/>
    <tableColumn id="3" xr3:uid="{00000000-0010-0000-0000-000003000000}" name="Over-The-Year Growth, Entities" dataDxfId="28"/>
    <tableColumn id="4" xr3:uid="{00000000-0010-0000-0000-000004000000}" name="Licenses" dataDxfId="27"/>
    <tableColumn id="5" xr3:uid="{00000000-0010-0000-0000-000005000000}" name="Over-The-Year Growth, Licenses" dataDxfId="26"/>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A11:C13" totalsRowShown="0" tableBorderDxfId="25">
  <autoFilter ref="A11:C13" xr:uid="{00000000-0009-0000-0100-000003000000}">
    <filterColumn colId="0" hiddenButton="1"/>
    <filterColumn colId="1" hiddenButton="1"/>
    <filterColumn colId="2" hiddenButton="1"/>
  </autoFilter>
  <tableColumns count="3">
    <tableColumn id="1" xr3:uid="{00000000-0010-0000-0100-000001000000}" name="Type" dataDxfId="24"/>
    <tableColumn id="2" xr3:uid="{00000000-0010-0000-0100-000002000000}" name="Unique Entities" dataDxfId="23"/>
    <tableColumn id="3" xr3:uid="{00000000-0010-0000-0100-000003000000}" name="Over the Year Growth" dataDxfId="22"/>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4" displayName="Table4" ref="A16:C18" totalsRowShown="0" dataDxfId="21" tableBorderDxfId="20">
  <autoFilter ref="A16:C18" xr:uid="{00000000-0009-0000-0100-000004000000}">
    <filterColumn colId="0" hiddenButton="1"/>
    <filterColumn colId="1" hiddenButton="1"/>
    <filterColumn colId="2" hiddenButton="1"/>
  </autoFilter>
  <tableColumns count="3">
    <tableColumn id="1" xr3:uid="{00000000-0010-0000-0200-000001000000}" name="Type" dataDxfId="19"/>
    <tableColumn id="2" xr3:uid="{00000000-0010-0000-0200-000002000000}" name="Unique Entities" dataDxfId="18"/>
    <tableColumn id="3" xr3:uid="{00000000-0010-0000-0200-000003000000}" name="Over the Year Growth" dataDxfId="17"/>
  </tableColumns>
  <tableStyleInfo name="TableStyleLight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47" displayName="Table47" ref="A23:C24" totalsRowShown="0" tableBorderDxfId="16">
  <tableColumns count="3">
    <tableColumn id="1" xr3:uid="{00000000-0010-0000-0300-000001000000}" name="Type" dataDxfId="15"/>
    <tableColumn id="2" xr3:uid="{00000000-0010-0000-0300-000002000000}" name="Unique Entities" dataDxfId="14"/>
    <tableColumn id="3" xr3:uid="{00000000-0010-0000-0300-000003000000}" name="Over the Year Growth" dataDxfId="13"/>
  </tableColumns>
  <tableStyleInfo name="TableStyleLight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2" displayName="Table2" ref="A3:F26" totalsRowShown="0" headerRowDxfId="12" dataDxfId="11">
  <autoFilter ref="A3:F26" xr:uid="{00000000-0009-0000-0100-000005000000}"/>
  <tableColumns count="6">
    <tableColumn id="5" xr3:uid="{00000000-0010-0000-0400-000005000000}" name="Year" dataDxfId="1">
      <calculatedColumnFormula>LEFT(Table2[[#This Row],[Filing Quarter]],4)</calculatedColumnFormula>
    </tableColumn>
    <tableColumn id="6" xr3:uid="{00000000-0010-0000-0400-000006000000}" name="Quarter" dataDxfId="0">
      <calculatedColumnFormula>RIGHT(Table2[[#This Row],[Filing Quarter]],2)</calculatedColumnFormula>
    </tableColumn>
    <tableColumn id="1" xr3:uid="{00000000-0010-0000-0400-000001000000}" name="Filing Quarter" dataDxfId="10"/>
    <tableColumn id="2" xr3:uid="{00000000-0010-0000-0400-000002000000}" name="Home Purchase" dataDxfId="9"/>
    <tableColumn id="3" xr3:uid="{00000000-0010-0000-0400-000003000000}" name="Refinancing" dataDxfId="8"/>
    <tableColumn id="4" xr3:uid="{00000000-0010-0000-0400-000004000000}" name="Home Improvement" dataDxfId="7"/>
  </tableColumns>
  <tableStyleInfo name="TableStyleLight1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13" displayName="Table13" ref="A4:D25" totalsRowShown="0" headerRowDxfId="6">
  <autoFilter ref="A4:D25" xr:uid="{00000000-0009-0000-0100-000002000000}"/>
  <tableColumns count="4">
    <tableColumn id="4" xr3:uid="{00000000-0010-0000-0500-000004000000}" name="Year" dataDxfId="5">
      <calculatedColumnFormula>LEFT(Table13[[#This Row],[Filing Quarter]],4)</calculatedColumnFormula>
    </tableColumn>
    <tableColumn id="3" xr3:uid="{00000000-0010-0000-0500-000003000000}" name="Quarter" dataDxfId="4">
      <calculatedColumnFormula>RIGHT(Table13[[#This Row],[Filing Quarter]],2)</calculatedColumnFormula>
    </tableColumn>
    <tableColumn id="1" xr3:uid="{00000000-0010-0000-0500-000001000000}" name="Filing Quarter" dataDxfId="3"/>
    <tableColumn id="2" xr3:uid="{00000000-0010-0000-0500-000002000000}" name="Active MLOs" dataDxfId="2" dataCellStyle="Comma"/>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
  <sheetViews>
    <sheetView showGridLines="0" tabSelected="1" workbookViewId="0"/>
  </sheetViews>
  <sheetFormatPr defaultRowHeight="14.5" x14ac:dyDescent="0.35"/>
  <cols>
    <col min="1" max="1" width="81" bestFit="1" customWidth="1"/>
  </cols>
  <sheetData>
    <row r="1" spans="1:1" ht="30" x14ac:dyDescent="0.35">
      <c r="A1" s="3" t="s">
        <v>0</v>
      </c>
    </row>
    <row r="2" spans="1:1" ht="31" x14ac:dyDescent="0.7">
      <c r="A2" s="4" t="s">
        <v>178</v>
      </c>
    </row>
    <row r="3" spans="1:1" x14ac:dyDescent="0.35">
      <c r="A3" s="5"/>
    </row>
    <row r="4" spans="1:1" x14ac:dyDescent="0.35">
      <c r="A4" s="6" t="s">
        <v>179</v>
      </c>
    </row>
    <row r="5" spans="1:1" x14ac:dyDescent="0.35">
      <c r="A5" s="6" t="s">
        <v>1</v>
      </c>
    </row>
    <row r="6" spans="1:1" x14ac:dyDescent="0.35">
      <c r="A6" s="6" t="s">
        <v>2</v>
      </c>
    </row>
    <row r="7" spans="1:1" x14ac:dyDescent="0.35">
      <c r="A7" s="6" t="s">
        <v>3</v>
      </c>
    </row>
    <row r="12" spans="1:1" x14ac:dyDescent="0.35">
      <c r="A12" s="7" t="s">
        <v>180</v>
      </c>
    </row>
  </sheetData>
  <pageMargins left="0.7" right="0.7" top="0.75" bottom="0.75" header="0.3" footer="0.3"/>
  <pageSetup orientation="portrait"/>
  <headerFooter>
    <oddHeader>&amp;C&amp;"Calibri"&amp;10&amp;K000000 Internal Use Only&amp;1#_x000D_</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4"/>
  <sheetViews>
    <sheetView workbookViewId="0">
      <selection activeCell="A2" sqref="A2"/>
    </sheetView>
  </sheetViews>
  <sheetFormatPr defaultRowHeight="14.5" x14ac:dyDescent="0.35"/>
  <cols>
    <col min="1" max="1" width="11.453125" customWidth="1"/>
    <col min="2" max="2" width="17" customWidth="1"/>
    <col min="3" max="3" width="22.453125" customWidth="1"/>
    <col min="4" max="4" width="9.1796875" customWidth="1"/>
    <col min="5" max="5" width="16.81640625" customWidth="1"/>
  </cols>
  <sheetData>
    <row r="1" spans="1:6" ht="17.5" x14ac:dyDescent="0.35">
      <c r="A1" s="8" t="s">
        <v>4</v>
      </c>
    </row>
    <row r="2" spans="1:6" x14ac:dyDescent="0.35">
      <c r="A2" s="9" t="s">
        <v>5</v>
      </c>
    </row>
    <row r="3" spans="1:6" s="18" customFormat="1" ht="29" x14ac:dyDescent="0.35">
      <c r="A3" s="19" t="s">
        <v>6</v>
      </c>
      <c r="B3" s="19" t="s">
        <v>7</v>
      </c>
      <c r="C3" s="19" t="s">
        <v>8</v>
      </c>
      <c r="D3" s="20" t="s">
        <v>9</v>
      </c>
      <c r="E3" s="19" t="s">
        <v>10</v>
      </c>
    </row>
    <row r="4" spans="1:6" ht="15" customHeight="1" thickBot="1" x14ac:dyDescent="0.4">
      <c r="A4" s="110" t="s">
        <v>11</v>
      </c>
      <c r="B4" s="114">
        <v>24163</v>
      </c>
      <c r="C4" s="115">
        <v>2E-3</v>
      </c>
      <c r="D4" s="114">
        <v>72789</v>
      </c>
      <c r="E4" s="116">
        <v>0.03</v>
      </c>
      <c r="F4" s="17"/>
    </row>
    <row r="5" spans="1:6" ht="15" customHeight="1" thickBot="1" x14ac:dyDescent="0.4">
      <c r="A5" s="110" t="s">
        <v>12</v>
      </c>
      <c r="B5" s="114">
        <v>23630</v>
      </c>
      <c r="C5" s="115">
        <v>-6.4000000000000001E-2</v>
      </c>
      <c r="D5" s="114">
        <v>86483</v>
      </c>
      <c r="E5" s="116">
        <v>-1.0999999999999999E-2</v>
      </c>
      <c r="F5" s="17"/>
    </row>
    <row r="6" spans="1:6" ht="15" customHeight="1" thickBot="1" x14ac:dyDescent="0.4">
      <c r="A6" s="110" t="s">
        <v>13</v>
      </c>
      <c r="B6" s="114">
        <v>179423</v>
      </c>
      <c r="C6" s="115">
        <v>-1.2999999999999999E-2</v>
      </c>
      <c r="D6" s="114">
        <v>658014</v>
      </c>
      <c r="E6" s="116">
        <v>7.4999999999999997E-2</v>
      </c>
      <c r="F6" s="17"/>
    </row>
    <row r="7" spans="1:6" ht="15.75" customHeight="1" x14ac:dyDescent="0.35">
      <c r="A7" s="12"/>
      <c r="B7" s="12"/>
      <c r="C7" s="12"/>
      <c r="D7" s="13"/>
      <c r="E7" s="12"/>
    </row>
    <row r="8" spans="1:6" ht="70.5" customHeight="1" x14ac:dyDescent="0.35">
      <c r="A8" s="133" t="s">
        <v>14</v>
      </c>
      <c r="B8" s="133"/>
      <c r="C8" s="133"/>
      <c r="D8" s="133"/>
      <c r="E8" s="133"/>
    </row>
    <row r="10" spans="1:6" x14ac:dyDescent="0.35">
      <c r="A10" s="10" t="s">
        <v>15</v>
      </c>
    </row>
    <row r="11" spans="1:6" ht="15" thickBot="1" x14ac:dyDescent="0.4">
      <c r="A11" s="14" t="s">
        <v>6</v>
      </c>
      <c r="B11" s="15" t="s">
        <v>7</v>
      </c>
      <c r="C11" s="15" t="s">
        <v>16</v>
      </c>
    </row>
    <row r="12" spans="1:6" ht="15" thickBot="1" x14ac:dyDescent="0.4">
      <c r="A12" s="16" t="s">
        <v>11</v>
      </c>
      <c r="B12" s="117">
        <v>7468</v>
      </c>
      <c r="C12" s="118">
        <v>-2.5000000000000001E-2</v>
      </c>
    </row>
    <row r="13" spans="1:6" ht="15" thickBot="1" x14ac:dyDescent="0.4">
      <c r="A13" s="16" t="s">
        <v>13</v>
      </c>
      <c r="B13" s="117">
        <v>354091</v>
      </c>
      <c r="C13" s="118">
        <v>-1.4E-2</v>
      </c>
    </row>
    <row r="14" spans="1:6" x14ac:dyDescent="0.35">
      <c r="C14" s="111"/>
    </row>
    <row r="15" spans="1:6" x14ac:dyDescent="0.35">
      <c r="A15" s="10" t="s">
        <v>17</v>
      </c>
      <c r="C15" s="111"/>
    </row>
    <row r="16" spans="1:6" ht="15" thickBot="1" x14ac:dyDescent="0.4">
      <c r="A16" s="14" t="s">
        <v>6</v>
      </c>
      <c r="B16" s="15" t="s">
        <v>7</v>
      </c>
      <c r="C16" s="112" t="s">
        <v>16</v>
      </c>
    </row>
    <row r="17" spans="1:5" ht="15" thickBot="1" x14ac:dyDescent="0.4">
      <c r="A17" s="119" t="s">
        <v>11</v>
      </c>
      <c r="B17" s="120">
        <v>81</v>
      </c>
      <c r="C17" s="121">
        <v>0</v>
      </c>
    </row>
    <row r="18" spans="1:5" ht="15" thickBot="1" x14ac:dyDescent="0.4">
      <c r="A18" s="119" t="s">
        <v>13</v>
      </c>
      <c r="B18" s="120">
        <v>2863</v>
      </c>
      <c r="C18" s="121">
        <v>-6.6000000000000003E-2</v>
      </c>
    </row>
    <row r="19" spans="1:5" x14ac:dyDescent="0.35">
      <c r="A19" s="11" t="s">
        <v>18</v>
      </c>
    </row>
    <row r="20" spans="1:5" ht="25.5" customHeight="1" x14ac:dyDescent="0.35">
      <c r="A20" s="133" t="s">
        <v>19</v>
      </c>
      <c r="B20" s="133"/>
      <c r="C20" s="133"/>
      <c r="D20" s="133"/>
      <c r="E20" s="133"/>
    </row>
    <row r="21" spans="1:5" ht="25.5" customHeight="1" x14ac:dyDescent="0.35"/>
    <row r="22" spans="1:5" x14ac:dyDescent="0.35">
      <c r="A22" s="10" t="s">
        <v>20</v>
      </c>
    </row>
    <row r="23" spans="1:5" ht="15" thickBot="1" x14ac:dyDescent="0.4">
      <c r="A23" s="14" t="s">
        <v>6</v>
      </c>
      <c r="B23" s="15" t="s">
        <v>7</v>
      </c>
      <c r="C23" s="15" t="s">
        <v>16</v>
      </c>
    </row>
    <row r="24" spans="1:5" x14ac:dyDescent="0.35">
      <c r="A24" s="16" t="s">
        <v>13</v>
      </c>
      <c r="B24" s="124">
        <v>196973</v>
      </c>
      <c r="C24" s="125">
        <v>-1.8804670532209536E-2</v>
      </c>
    </row>
  </sheetData>
  <mergeCells count="2">
    <mergeCell ref="A8:E8"/>
    <mergeCell ref="A20:E20"/>
  </mergeCells>
  <pageMargins left="0.7" right="0.7" top="0.75" bottom="0.75" header="0.3" footer="0.3"/>
  <pageSetup orientation="portrait" horizontalDpi="360" verticalDpi="360" r:id="rId1"/>
  <headerFooter>
    <oddHeader>&amp;C&amp;"Calibri"&amp;10&amp;K000000 Internal Use Only&amp;1#_x000D_</oddHeader>
  </headerFooter>
  <tableParts count="4">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72"/>
  <sheetViews>
    <sheetView workbookViewId="0"/>
  </sheetViews>
  <sheetFormatPr defaultRowHeight="14.5" x14ac:dyDescent="0.35"/>
  <cols>
    <col min="1" max="1" width="18.54296875" customWidth="1"/>
    <col min="2" max="2" width="11.54296875" customWidth="1"/>
    <col min="3" max="3" width="11.81640625" customWidth="1"/>
    <col min="4" max="4" width="12.54296875" customWidth="1"/>
    <col min="5" max="5" width="12.81640625" customWidth="1"/>
    <col min="6" max="8" width="11.54296875" customWidth="1"/>
    <col min="9" max="9" width="14" customWidth="1"/>
    <col min="10" max="10" width="8.81640625" customWidth="1"/>
    <col min="11" max="11" width="80.1796875" hidden="1" customWidth="1"/>
    <col min="12" max="12" width="1.54296875" hidden="1" customWidth="1"/>
    <col min="13" max="13" width="6" hidden="1" customWidth="1"/>
    <col min="14" max="14" width="1.54296875" hidden="1" customWidth="1"/>
    <col min="15" max="15" width="0" hidden="1" customWidth="1"/>
  </cols>
  <sheetData>
    <row r="1" spans="1:14" ht="17.5" x14ac:dyDescent="0.35">
      <c r="A1" s="52" t="s">
        <v>183</v>
      </c>
      <c r="B1" s="53"/>
      <c r="C1" s="53"/>
      <c r="D1" s="53"/>
      <c r="E1" s="53"/>
      <c r="F1" s="53"/>
      <c r="G1" s="53"/>
      <c r="H1" s="53"/>
      <c r="I1" s="53"/>
      <c r="K1" s="22" t="s">
        <v>21</v>
      </c>
      <c r="L1" s="22" t="s">
        <v>22</v>
      </c>
      <c r="M1" s="23" t="s">
        <v>23</v>
      </c>
      <c r="N1" s="21" t="s">
        <v>24</v>
      </c>
    </row>
    <row r="2" spans="1:14" ht="15" thickBot="1" x14ac:dyDescent="0.4">
      <c r="K2" s="21"/>
      <c r="L2" s="21"/>
      <c r="M2" s="21"/>
      <c r="N2" s="21"/>
    </row>
    <row r="3" spans="1:14" ht="19" thickBot="1" x14ac:dyDescent="0.5">
      <c r="A3" s="32"/>
      <c r="B3" s="136" t="s">
        <v>25</v>
      </c>
      <c r="C3" s="136"/>
      <c r="D3" s="136"/>
      <c r="E3" s="2" t="s">
        <v>26</v>
      </c>
      <c r="F3" s="136" t="s">
        <v>27</v>
      </c>
      <c r="G3" s="136"/>
      <c r="H3" s="136"/>
      <c r="I3" s="136"/>
      <c r="K3" s="24"/>
      <c r="L3" s="24"/>
      <c r="M3" s="24"/>
      <c r="N3" s="24"/>
    </row>
    <row r="4" spans="1:14" ht="45.5" x14ac:dyDescent="0.35">
      <c r="A4" s="33" t="s">
        <v>28</v>
      </c>
      <c r="B4" s="34" t="s">
        <v>29</v>
      </c>
      <c r="C4" s="35" t="s">
        <v>30</v>
      </c>
      <c r="D4" s="36" t="s">
        <v>31</v>
      </c>
      <c r="E4" s="37" t="s">
        <v>32</v>
      </c>
      <c r="F4" s="34" t="s">
        <v>33</v>
      </c>
      <c r="G4" s="35" t="s">
        <v>30</v>
      </c>
      <c r="H4" s="35" t="s">
        <v>31</v>
      </c>
      <c r="I4" s="38" t="s">
        <v>34</v>
      </c>
      <c r="K4" s="25"/>
      <c r="L4" s="25"/>
      <c r="M4" s="25"/>
      <c r="N4" s="25"/>
    </row>
    <row r="5" spans="1:14" x14ac:dyDescent="0.35">
      <c r="A5" s="39" t="s">
        <v>35</v>
      </c>
      <c r="B5" s="40">
        <v>1029</v>
      </c>
      <c r="C5" s="41">
        <v>5.6468172484599587E-2</v>
      </c>
      <c r="D5" s="42">
        <v>121</v>
      </c>
      <c r="E5" s="43">
        <v>1324</v>
      </c>
      <c r="F5" s="40">
        <v>13692</v>
      </c>
      <c r="G5" s="41">
        <v>0.12376887721602101</v>
      </c>
      <c r="H5" s="44">
        <v>1243</v>
      </c>
      <c r="I5" s="45">
        <v>13.4</v>
      </c>
      <c r="K5" s="30"/>
    </row>
    <row r="6" spans="1:14" ht="15" x14ac:dyDescent="0.35">
      <c r="A6" s="39" t="s">
        <v>36</v>
      </c>
      <c r="B6" s="40">
        <v>240</v>
      </c>
      <c r="C6" s="41">
        <v>1.6949152542372881E-2</v>
      </c>
      <c r="D6" s="42">
        <v>17</v>
      </c>
      <c r="E6" s="43">
        <v>430</v>
      </c>
      <c r="F6" s="40">
        <v>2348</v>
      </c>
      <c r="G6" s="41">
        <v>9.4638694638694634E-2</v>
      </c>
      <c r="H6" s="44">
        <v>167</v>
      </c>
      <c r="I6" s="45">
        <v>10.6</v>
      </c>
      <c r="K6" s="30"/>
      <c r="M6" s="26">
        <v>1</v>
      </c>
    </row>
    <row r="7" spans="1:14" x14ac:dyDescent="0.35">
      <c r="A7" s="39" t="s">
        <v>37</v>
      </c>
      <c r="B7" s="40">
        <v>1710</v>
      </c>
      <c r="C7" s="41">
        <v>4.3956043956043959E-2</v>
      </c>
      <c r="D7" s="42">
        <v>700</v>
      </c>
      <c r="E7" s="43">
        <v>4616</v>
      </c>
      <c r="F7" s="40">
        <v>23693</v>
      </c>
      <c r="G7" s="41">
        <v>7.6954545454545456E-2</v>
      </c>
      <c r="H7" s="44">
        <v>7872</v>
      </c>
      <c r="I7" s="45">
        <v>15</v>
      </c>
      <c r="K7" s="30"/>
      <c r="M7" s="27" t="s">
        <v>38</v>
      </c>
    </row>
    <row r="8" spans="1:14" x14ac:dyDescent="0.35">
      <c r="A8" s="39" t="s">
        <v>39</v>
      </c>
      <c r="B8" s="40">
        <v>633</v>
      </c>
      <c r="C8" s="41">
        <v>6.386554621848739E-2</v>
      </c>
      <c r="D8" s="42">
        <v>36</v>
      </c>
      <c r="E8" s="43">
        <v>1324</v>
      </c>
      <c r="F8" s="40">
        <v>8215</v>
      </c>
      <c r="G8" s="41">
        <v>0.21631625703286941</v>
      </c>
      <c r="H8" s="44">
        <v>383</v>
      </c>
      <c r="I8" s="45">
        <v>13.6</v>
      </c>
      <c r="K8" s="30"/>
    </row>
    <row r="9" spans="1:14" x14ac:dyDescent="0.35">
      <c r="A9" s="39" t="s">
        <v>40</v>
      </c>
      <c r="B9" s="40">
        <v>6478</v>
      </c>
      <c r="C9" s="41">
        <v>-2.2483778481967712E-2</v>
      </c>
      <c r="D9" s="42">
        <v>6368</v>
      </c>
      <c r="E9" s="43">
        <v>652</v>
      </c>
      <c r="F9" s="40">
        <v>21291</v>
      </c>
      <c r="G9" s="41">
        <v>-2.1148452944692201E-2</v>
      </c>
      <c r="H9" s="44">
        <v>19430</v>
      </c>
      <c r="I9" s="45">
        <v>2.8</v>
      </c>
      <c r="K9" s="30"/>
    </row>
    <row r="10" spans="1:14" x14ac:dyDescent="0.35">
      <c r="A10" s="39" t="s">
        <v>41</v>
      </c>
      <c r="B10" s="40">
        <v>4795</v>
      </c>
      <c r="C10" s="41">
        <v>4.9004594180704443E-2</v>
      </c>
      <c r="D10" s="42">
        <v>2250</v>
      </c>
      <c r="E10" s="43">
        <v>7728</v>
      </c>
      <c r="F10" s="40">
        <v>36759</v>
      </c>
      <c r="G10" s="41">
        <v>-4.9806458598381292E-3</v>
      </c>
      <c r="H10" s="44">
        <v>14649</v>
      </c>
      <c r="I10" s="45">
        <v>15.7</v>
      </c>
      <c r="K10" s="30"/>
    </row>
    <row r="11" spans="1:14" x14ac:dyDescent="0.35">
      <c r="A11" s="39" t="s">
        <v>42</v>
      </c>
      <c r="B11" s="40">
        <v>2732</v>
      </c>
      <c r="C11" s="41">
        <v>3.6616623947272059E-4</v>
      </c>
      <c r="D11" s="42">
        <v>792</v>
      </c>
      <c r="E11" s="28" t="s">
        <v>186</v>
      </c>
      <c r="F11" s="40">
        <v>19272</v>
      </c>
      <c r="G11" s="41">
        <v>0.11077809798270891</v>
      </c>
      <c r="H11" s="44">
        <v>3872</v>
      </c>
      <c r="I11" s="45">
        <v>7.4</v>
      </c>
      <c r="J11" s="28"/>
      <c r="K11" s="31" t="s">
        <v>43</v>
      </c>
    </row>
    <row r="12" spans="1:14" x14ac:dyDescent="0.35">
      <c r="A12" s="39" t="s">
        <v>44</v>
      </c>
      <c r="B12" s="40">
        <v>839</v>
      </c>
      <c r="C12" s="41">
        <v>2.3894862604540018E-3</v>
      </c>
      <c r="D12" s="42">
        <v>147</v>
      </c>
      <c r="E12" s="43">
        <v>1069</v>
      </c>
      <c r="F12" s="40">
        <v>8628</v>
      </c>
      <c r="G12" s="41">
        <v>6.650185414091471E-2</v>
      </c>
      <c r="H12" s="44">
        <v>1028</v>
      </c>
      <c r="I12" s="45">
        <v>10.8</v>
      </c>
    </row>
    <row r="13" spans="1:14" x14ac:dyDescent="0.35">
      <c r="A13" s="39" t="s">
        <v>45</v>
      </c>
      <c r="B13" s="40">
        <v>527</v>
      </c>
      <c r="C13" s="41">
        <v>0</v>
      </c>
      <c r="D13" s="42">
        <v>28</v>
      </c>
      <c r="E13" s="43">
        <v>922</v>
      </c>
      <c r="F13" s="40">
        <v>5524</v>
      </c>
      <c r="G13" s="41">
        <v>5.0789423625641997E-2</v>
      </c>
      <c r="H13" s="44">
        <v>297</v>
      </c>
      <c r="I13" s="45">
        <v>10.4</v>
      </c>
    </row>
    <row r="14" spans="1:14" x14ac:dyDescent="0.35">
      <c r="A14" s="39" t="s">
        <v>46</v>
      </c>
      <c r="B14" s="40">
        <v>725</v>
      </c>
      <c r="C14" s="41">
        <v>-1.091405184174625E-2</v>
      </c>
      <c r="D14" s="42">
        <v>10</v>
      </c>
      <c r="E14" s="43">
        <v>813</v>
      </c>
      <c r="F14" s="40">
        <v>5222</v>
      </c>
      <c r="G14" s="41">
        <v>4.4817927170868348E-2</v>
      </c>
      <c r="H14" s="44">
        <v>58</v>
      </c>
      <c r="I14" s="45">
        <v>8.1999999999999993</v>
      </c>
    </row>
    <row r="15" spans="1:14" x14ac:dyDescent="0.35">
      <c r="A15" s="39" t="s">
        <v>47</v>
      </c>
      <c r="B15" s="40">
        <v>6013</v>
      </c>
      <c r="C15" s="41">
        <v>1.7600270773396511E-2</v>
      </c>
      <c r="D15" s="42">
        <v>2500</v>
      </c>
      <c r="E15" s="43">
        <v>6352</v>
      </c>
      <c r="F15" s="40">
        <v>53339</v>
      </c>
      <c r="G15" s="41">
        <v>2.782541670681183E-2</v>
      </c>
      <c r="H15" s="44">
        <v>15634</v>
      </c>
      <c r="I15" s="29" t="s">
        <v>187</v>
      </c>
    </row>
    <row r="16" spans="1:14" x14ac:dyDescent="0.35">
      <c r="A16" s="39" t="s">
        <v>48</v>
      </c>
      <c r="B16" s="40">
        <v>2087</v>
      </c>
      <c r="C16" s="41">
        <v>3.5732009925558313E-2</v>
      </c>
      <c r="D16" s="42">
        <v>573</v>
      </c>
      <c r="E16" s="43">
        <v>571</v>
      </c>
      <c r="F16" s="40">
        <v>23480</v>
      </c>
      <c r="G16" s="41">
        <v>7.7904788137538442E-2</v>
      </c>
      <c r="H16" s="44">
        <v>3849</v>
      </c>
      <c r="I16" s="45">
        <v>11.8</v>
      </c>
    </row>
    <row r="17" spans="1:9" x14ac:dyDescent="0.35">
      <c r="A17" s="39" t="s">
        <v>49</v>
      </c>
      <c r="B17" s="40">
        <v>19</v>
      </c>
      <c r="C17" s="41">
        <v>5.5555555555555552E-2</v>
      </c>
      <c r="D17" s="42">
        <v>3</v>
      </c>
      <c r="E17" s="43">
        <v>37</v>
      </c>
      <c r="F17" s="40">
        <v>16</v>
      </c>
      <c r="G17" s="41">
        <v>0.23076923076923081</v>
      </c>
      <c r="H17" s="44">
        <v>11</v>
      </c>
      <c r="I17" s="45">
        <v>3.2</v>
      </c>
    </row>
    <row r="18" spans="1:9" x14ac:dyDescent="0.35">
      <c r="A18" s="39" t="s">
        <v>50</v>
      </c>
      <c r="B18" s="40">
        <v>370</v>
      </c>
      <c r="C18" s="41">
        <v>-5.8524173027989818E-2</v>
      </c>
      <c r="D18" s="42">
        <v>73</v>
      </c>
      <c r="E18" s="43">
        <v>244</v>
      </c>
      <c r="F18" s="40">
        <v>3126</v>
      </c>
      <c r="G18" s="41">
        <v>1.2305699481865291E-2</v>
      </c>
      <c r="H18" s="44">
        <v>796</v>
      </c>
      <c r="I18" s="45">
        <v>10.6</v>
      </c>
    </row>
    <row r="19" spans="1:9" x14ac:dyDescent="0.35">
      <c r="A19" s="39" t="s">
        <v>51</v>
      </c>
      <c r="B19" s="40">
        <v>1285</v>
      </c>
      <c r="C19" s="41">
        <v>5.9356966199505361E-2</v>
      </c>
      <c r="D19" s="42">
        <v>104</v>
      </c>
      <c r="E19" s="43">
        <v>1739</v>
      </c>
      <c r="F19" s="40">
        <v>8041</v>
      </c>
      <c r="G19" s="41">
        <v>0.10316915900672249</v>
      </c>
      <c r="H19" s="44">
        <v>811</v>
      </c>
      <c r="I19" s="45">
        <v>8.4</v>
      </c>
    </row>
    <row r="20" spans="1:9" x14ac:dyDescent="0.35">
      <c r="A20" s="39" t="s">
        <v>52</v>
      </c>
      <c r="B20" s="40">
        <v>1018</v>
      </c>
      <c r="C20" s="41">
        <v>-4.8875855327468231E-3</v>
      </c>
      <c r="D20" s="42">
        <v>325</v>
      </c>
      <c r="E20" s="43">
        <v>396</v>
      </c>
      <c r="F20" s="40">
        <v>17861</v>
      </c>
      <c r="G20" s="41">
        <v>0.1038254743217354</v>
      </c>
      <c r="H20" s="44">
        <v>3566</v>
      </c>
      <c r="I20" s="45">
        <v>18.100000000000001</v>
      </c>
    </row>
    <row r="21" spans="1:9" x14ac:dyDescent="0.35">
      <c r="A21" s="39" t="s">
        <v>53</v>
      </c>
      <c r="B21" s="40">
        <v>502</v>
      </c>
      <c r="C21" s="41">
        <v>5.4621848739495799E-2</v>
      </c>
      <c r="D21" s="42">
        <v>24</v>
      </c>
      <c r="E21" s="28" t="s">
        <v>186</v>
      </c>
      <c r="F21" s="40">
        <v>14140</v>
      </c>
      <c r="G21" s="41">
        <v>0.13857798534503579</v>
      </c>
      <c r="H21" s="44">
        <v>1217</v>
      </c>
      <c r="I21" s="45">
        <v>26.6</v>
      </c>
    </row>
    <row r="22" spans="1:9" x14ac:dyDescent="0.35">
      <c r="A22" s="39" t="s">
        <v>54</v>
      </c>
      <c r="B22" s="40">
        <v>409</v>
      </c>
      <c r="C22" s="41">
        <v>0.11141304347826091</v>
      </c>
      <c r="D22" s="42">
        <v>100</v>
      </c>
      <c r="E22" s="43">
        <v>52</v>
      </c>
      <c r="F22" s="40">
        <v>1250</v>
      </c>
      <c r="G22" s="41">
        <v>0.3171759747102213</v>
      </c>
      <c r="H22" s="44">
        <v>336</v>
      </c>
      <c r="I22" s="45">
        <v>2.9</v>
      </c>
    </row>
    <row r="23" spans="1:9" x14ac:dyDescent="0.35">
      <c r="A23" s="39" t="s">
        <v>55</v>
      </c>
      <c r="B23" s="40">
        <v>884</v>
      </c>
      <c r="C23" s="41">
        <v>5.1129607609988109E-2</v>
      </c>
      <c r="D23" s="42">
        <v>111</v>
      </c>
      <c r="E23" s="43">
        <v>1282</v>
      </c>
      <c r="F23" s="40">
        <v>7476</v>
      </c>
      <c r="G23" s="41">
        <v>0.16086956521739129</v>
      </c>
      <c r="H23" s="44">
        <v>313</v>
      </c>
      <c r="I23" s="45">
        <v>14.7</v>
      </c>
    </row>
    <row r="24" spans="1:9" x14ac:dyDescent="0.35">
      <c r="A24" s="39" t="s">
        <v>56</v>
      </c>
      <c r="B24" s="40">
        <v>635</v>
      </c>
      <c r="C24" s="41">
        <v>3.7581699346405227E-2</v>
      </c>
      <c r="D24" s="42">
        <v>48</v>
      </c>
      <c r="E24" s="43">
        <v>1209</v>
      </c>
      <c r="F24" s="40">
        <v>7787</v>
      </c>
      <c r="G24" s="41">
        <v>0.17221135029354209</v>
      </c>
      <c r="H24" s="44">
        <v>645</v>
      </c>
      <c r="I24" s="45">
        <v>13.3</v>
      </c>
    </row>
    <row r="25" spans="1:9" x14ac:dyDescent="0.35">
      <c r="A25" s="39" t="s">
        <v>57</v>
      </c>
      <c r="B25" s="40">
        <v>701</v>
      </c>
      <c r="C25" s="41">
        <v>-1.424501424501425E-3</v>
      </c>
      <c r="D25" s="42">
        <v>115</v>
      </c>
      <c r="E25" s="43">
        <v>1380</v>
      </c>
      <c r="F25" s="40">
        <v>8968</v>
      </c>
      <c r="G25" s="41">
        <v>0.1625615763546798</v>
      </c>
      <c r="H25" s="44">
        <v>976</v>
      </c>
      <c r="I25" s="45">
        <v>13.9</v>
      </c>
    </row>
    <row r="26" spans="1:9" x14ac:dyDescent="0.35">
      <c r="A26" s="39" t="s">
        <v>58</v>
      </c>
      <c r="B26" s="40">
        <v>872</v>
      </c>
      <c r="C26" s="41">
        <v>-1.145475372279496E-3</v>
      </c>
      <c r="D26" s="42">
        <v>209</v>
      </c>
      <c r="E26" s="43">
        <v>1375</v>
      </c>
      <c r="F26" s="40">
        <v>9044</v>
      </c>
      <c r="G26" s="41">
        <v>0.1107835912552198</v>
      </c>
      <c r="H26" s="44">
        <v>1231</v>
      </c>
      <c r="I26" s="45">
        <v>10</v>
      </c>
    </row>
    <row r="27" spans="1:9" x14ac:dyDescent="0.35">
      <c r="A27" s="39" t="s">
        <v>59</v>
      </c>
      <c r="B27" s="40">
        <v>663</v>
      </c>
      <c r="C27" s="41">
        <v>0.1124161073825503</v>
      </c>
      <c r="D27" s="42">
        <v>49</v>
      </c>
      <c r="E27" s="43">
        <v>1024</v>
      </c>
      <c r="F27" s="40">
        <v>7771</v>
      </c>
      <c r="G27" s="41">
        <v>0.15898583146905301</v>
      </c>
      <c r="H27" s="44">
        <v>287</v>
      </c>
      <c r="I27" s="45">
        <v>16.7</v>
      </c>
    </row>
    <row r="28" spans="1:9" x14ac:dyDescent="0.35">
      <c r="A28" s="39" t="s">
        <v>60</v>
      </c>
      <c r="B28" s="40">
        <v>1198</v>
      </c>
      <c r="C28" s="41">
        <v>2.5104602510460251E-3</v>
      </c>
      <c r="D28" s="42">
        <v>228</v>
      </c>
      <c r="E28" s="43">
        <v>0</v>
      </c>
      <c r="F28" s="40">
        <v>13807</v>
      </c>
      <c r="G28" s="41">
        <v>6.8901447704575361E-2</v>
      </c>
      <c r="H28" s="44">
        <v>2424</v>
      </c>
      <c r="I28" s="45">
        <v>12.3</v>
      </c>
    </row>
    <row r="29" spans="1:9" x14ac:dyDescent="0.35">
      <c r="A29" s="39" t="s">
        <v>61</v>
      </c>
      <c r="B29" s="40">
        <v>652</v>
      </c>
      <c r="C29" s="41">
        <v>1.2422360248447201E-2</v>
      </c>
      <c r="D29" s="42">
        <v>178</v>
      </c>
      <c r="E29" s="43">
        <v>1144</v>
      </c>
      <c r="F29" s="40">
        <v>9114</v>
      </c>
      <c r="G29" s="41">
        <v>5.3519824297769053E-2</v>
      </c>
      <c r="H29" s="44">
        <v>1738</v>
      </c>
      <c r="I29" s="45">
        <v>14.6</v>
      </c>
    </row>
    <row r="30" spans="1:9" x14ac:dyDescent="0.35">
      <c r="A30" s="39" t="s">
        <v>62</v>
      </c>
      <c r="B30" s="40">
        <v>1534</v>
      </c>
      <c r="C30" s="41">
        <v>2.4032042723631509E-2</v>
      </c>
      <c r="D30" s="42">
        <v>641</v>
      </c>
      <c r="E30" s="28" t="s">
        <v>186</v>
      </c>
      <c r="F30" s="40">
        <v>16341</v>
      </c>
      <c r="G30" s="41">
        <v>9.8702346533987767E-2</v>
      </c>
      <c r="H30" s="44">
        <v>6361</v>
      </c>
      <c r="I30" s="45">
        <v>11.1</v>
      </c>
    </row>
    <row r="31" spans="1:9" x14ac:dyDescent="0.35">
      <c r="A31" s="39" t="s">
        <v>63</v>
      </c>
      <c r="B31" s="40">
        <v>962</v>
      </c>
      <c r="C31" s="41">
        <v>2.668089647812167E-2</v>
      </c>
      <c r="D31" s="42">
        <v>252</v>
      </c>
      <c r="E31" s="43">
        <v>755</v>
      </c>
      <c r="F31" s="40">
        <v>9737</v>
      </c>
      <c r="G31" s="41">
        <v>0.1301067780872795</v>
      </c>
      <c r="H31" s="44">
        <v>1580</v>
      </c>
      <c r="I31" s="45">
        <v>12.6</v>
      </c>
    </row>
    <row r="32" spans="1:9" x14ac:dyDescent="0.35">
      <c r="A32" s="39" t="s">
        <v>64</v>
      </c>
      <c r="B32" s="40">
        <v>595</v>
      </c>
      <c r="C32" s="41">
        <v>5.6838365896980457E-2</v>
      </c>
      <c r="D32" s="42">
        <v>44</v>
      </c>
      <c r="E32" s="43">
        <v>1043</v>
      </c>
      <c r="F32" s="40">
        <v>5217</v>
      </c>
      <c r="G32" s="41">
        <v>0.11928770650075091</v>
      </c>
      <c r="H32" s="44">
        <v>339</v>
      </c>
      <c r="I32" s="45">
        <v>8.8000000000000007</v>
      </c>
    </row>
    <row r="33" spans="1:9" x14ac:dyDescent="0.35">
      <c r="A33" s="39" t="s">
        <v>65</v>
      </c>
      <c r="B33" s="40">
        <v>545</v>
      </c>
      <c r="C33" s="41">
        <v>1.8691588785046731E-2</v>
      </c>
      <c r="D33" s="42">
        <v>151</v>
      </c>
      <c r="E33" s="43">
        <v>1666</v>
      </c>
      <c r="F33" s="40">
        <v>10160</v>
      </c>
      <c r="G33" s="41">
        <v>0.1297675970199044</v>
      </c>
      <c r="H33" s="44">
        <v>2708</v>
      </c>
      <c r="I33" s="45">
        <v>20.3</v>
      </c>
    </row>
    <row r="34" spans="1:9" x14ac:dyDescent="0.35">
      <c r="A34" s="39" t="s">
        <v>66</v>
      </c>
      <c r="B34" s="40">
        <v>542</v>
      </c>
      <c r="C34" s="41">
        <v>5.6530214424951257E-2</v>
      </c>
      <c r="D34" s="42">
        <v>34</v>
      </c>
      <c r="E34" s="43">
        <v>906</v>
      </c>
      <c r="F34" s="40">
        <v>4811</v>
      </c>
      <c r="G34" s="41">
        <v>0.10750460405156539</v>
      </c>
      <c r="H34" s="44">
        <v>220</v>
      </c>
      <c r="I34" s="45">
        <v>8.6</v>
      </c>
    </row>
    <row r="35" spans="1:9" x14ac:dyDescent="0.35">
      <c r="A35" s="39" t="s">
        <v>67</v>
      </c>
      <c r="B35" s="40">
        <v>628</v>
      </c>
      <c r="C35" s="41">
        <v>8.6505190311418678E-2</v>
      </c>
      <c r="D35" s="42">
        <v>37</v>
      </c>
      <c r="E35" s="43">
        <v>1031</v>
      </c>
      <c r="F35" s="40">
        <v>4040</v>
      </c>
      <c r="G35" s="41">
        <v>0.143180531975099</v>
      </c>
      <c r="H35" s="44">
        <v>284</v>
      </c>
      <c r="I35" s="45">
        <v>9.5</v>
      </c>
    </row>
    <row r="36" spans="1:9" x14ac:dyDescent="0.35">
      <c r="A36" s="39" t="s">
        <v>68</v>
      </c>
      <c r="B36" s="40">
        <v>646</v>
      </c>
      <c r="C36" s="41">
        <v>5.2117263843648211E-2</v>
      </c>
      <c r="D36" s="42">
        <v>183</v>
      </c>
      <c r="E36" s="43">
        <v>1370</v>
      </c>
      <c r="F36" s="40">
        <v>10732</v>
      </c>
      <c r="G36" s="41">
        <v>8.1309823677581869E-2</v>
      </c>
      <c r="H36" s="44">
        <v>2677</v>
      </c>
      <c r="I36" s="45">
        <v>16.8</v>
      </c>
    </row>
    <row r="37" spans="1:9" x14ac:dyDescent="0.35">
      <c r="A37" s="39" t="s">
        <v>69</v>
      </c>
      <c r="B37" s="40">
        <v>537</v>
      </c>
      <c r="C37" s="41">
        <v>1.8975332068311191E-2</v>
      </c>
      <c r="D37" s="42">
        <v>43</v>
      </c>
      <c r="E37" s="43">
        <v>869</v>
      </c>
      <c r="F37" s="40">
        <v>5094</v>
      </c>
      <c r="G37" s="41">
        <v>5.2261929353439367E-2</v>
      </c>
      <c r="H37" s="44">
        <v>510</v>
      </c>
      <c r="I37" s="45">
        <v>11.9</v>
      </c>
    </row>
    <row r="38" spans="1:9" x14ac:dyDescent="0.35">
      <c r="A38" s="39" t="s">
        <v>70</v>
      </c>
      <c r="B38" s="40">
        <v>1141</v>
      </c>
      <c r="C38" s="41">
        <v>-3.4934497816593892E-3</v>
      </c>
      <c r="D38" s="42">
        <v>291</v>
      </c>
      <c r="E38" s="43">
        <v>1736</v>
      </c>
      <c r="F38" s="40">
        <v>13769</v>
      </c>
      <c r="G38" s="41">
        <v>-2.2712754631272619E-2</v>
      </c>
      <c r="H38" s="44">
        <v>3875</v>
      </c>
      <c r="I38" s="45">
        <v>11.4</v>
      </c>
    </row>
    <row r="39" spans="1:9" x14ac:dyDescent="0.35">
      <c r="A39" s="39" t="s">
        <v>71</v>
      </c>
      <c r="B39" s="40">
        <v>523</v>
      </c>
      <c r="C39" s="41">
        <v>3.3596837944664032E-2</v>
      </c>
      <c r="D39" s="42">
        <v>51</v>
      </c>
      <c r="E39" s="43">
        <v>1033</v>
      </c>
      <c r="F39" s="40">
        <v>6776</v>
      </c>
      <c r="G39" s="41">
        <v>0.1380584481021162</v>
      </c>
      <c r="H39" s="44">
        <v>443</v>
      </c>
      <c r="I39" s="45">
        <v>11.8</v>
      </c>
    </row>
    <row r="40" spans="1:9" x14ac:dyDescent="0.35">
      <c r="A40" s="39" t="s">
        <v>72</v>
      </c>
      <c r="B40" s="40">
        <v>641</v>
      </c>
      <c r="C40" s="41">
        <v>-3.3182503770739058E-2</v>
      </c>
      <c r="D40" s="42">
        <v>394</v>
      </c>
      <c r="E40" s="43">
        <v>952</v>
      </c>
      <c r="F40" s="40">
        <v>7899</v>
      </c>
      <c r="G40" s="41">
        <v>-5.2195824334053273E-2</v>
      </c>
      <c r="H40" s="44">
        <v>3601</v>
      </c>
      <c r="I40" s="45">
        <v>13.1</v>
      </c>
    </row>
    <row r="41" spans="1:9" x14ac:dyDescent="0.35">
      <c r="A41" s="39" t="s">
        <v>73</v>
      </c>
      <c r="B41" s="40">
        <v>1277</v>
      </c>
      <c r="C41" s="41">
        <v>8.3121289228159451E-2</v>
      </c>
      <c r="D41" s="42">
        <v>239</v>
      </c>
      <c r="E41" s="43">
        <v>2324</v>
      </c>
      <c r="F41" s="40">
        <v>19526</v>
      </c>
      <c r="G41" s="41">
        <v>8.8648528099910792E-2</v>
      </c>
      <c r="H41" s="44">
        <v>3098</v>
      </c>
      <c r="I41" s="45">
        <v>14.3</v>
      </c>
    </row>
    <row r="42" spans="1:9" x14ac:dyDescent="0.35">
      <c r="A42" s="39" t="s">
        <v>74</v>
      </c>
      <c r="B42" s="40">
        <v>670</v>
      </c>
      <c r="C42" s="41">
        <v>7.0287539936102233E-2</v>
      </c>
      <c r="D42" s="42">
        <v>26</v>
      </c>
      <c r="E42" s="43">
        <v>643</v>
      </c>
      <c r="F42" s="40">
        <v>3798</v>
      </c>
      <c r="G42" s="41">
        <v>0.18023617153511501</v>
      </c>
      <c r="H42" s="44">
        <v>78</v>
      </c>
      <c r="I42" s="45">
        <v>13</v>
      </c>
    </row>
    <row r="43" spans="1:9" x14ac:dyDescent="0.35">
      <c r="A43" s="39" t="s">
        <v>75</v>
      </c>
      <c r="B43" s="40">
        <v>1099</v>
      </c>
      <c r="C43" s="41">
        <v>5.4702495201535507E-2</v>
      </c>
      <c r="D43" s="42">
        <v>241</v>
      </c>
      <c r="E43" s="43">
        <v>1816</v>
      </c>
      <c r="F43" s="40">
        <v>16199</v>
      </c>
      <c r="G43" s="41">
        <v>0.1124158769399808</v>
      </c>
      <c r="H43" s="44">
        <v>3293</v>
      </c>
      <c r="I43" s="45">
        <v>13.7</v>
      </c>
    </row>
    <row r="44" spans="1:9" x14ac:dyDescent="0.35">
      <c r="A44" s="39" t="s">
        <v>76</v>
      </c>
      <c r="B44" s="40">
        <v>750</v>
      </c>
      <c r="C44" s="41">
        <v>6.6856330014224752E-2</v>
      </c>
      <c r="D44" s="42">
        <v>82</v>
      </c>
      <c r="E44" s="43">
        <v>1092</v>
      </c>
      <c r="F44" s="40">
        <v>8808</v>
      </c>
      <c r="G44" s="41">
        <v>0.1447881466077463</v>
      </c>
      <c r="H44" s="44">
        <v>614</v>
      </c>
      <c r="I44" s="45">
        <v>10.7</v>
      </c>
    </row>
    <row r="45" spans="1:9" x14ac:dyDescent="0.35">
      <c r="A45" s="39" t="s">
        <v>77</v>
      </c>
      <c r="B45" s="40">
        <v>1240</v>
      </c>
      <c r="C45" s="41">
        <v>2.3947151114781171E-2</v>
      </c>
      <c r="D45" s="42">
        <v>220</v>
      </c>
      <c r="E45" s="43">
        <v>2239</v>
      </c>
      <c r="F45" s="40">
        <v>14171</v>
      </c>
      <c r="G45" s="41">
        <v>9.7081365642176981E-2</v>
      </c>
      <c r="H45" s="44">
        <v>1877</v>
      </c>
      <c r="I45" s="45">
        <v>11.8</v>
      </c>
    </row>
    <row r="46" spans="1:9" x14ac:dyDescent="0.35">
      <c r="A46" s="39" t="s">
        <v>78</v>
      </c>
      <c r="B46" s="40">
        <v>1610</v>
      </c>
      <c r="C46" s="41">
        <v>4.3421905379131563E-2</v>
      </c>
      <c r="D46" s="42">
        <v>468</v>
      </c>
      <c r="E46" s="43">
        <v>2032</v>
      </c>
      <c r="F46" s="40">
        <v>19446</v>
      </c>
      <c r="G46" s="41">
        <v>0.1051375312571039</v>
      </c>
      <c r="H46" s="44">
        <v>3076</v>
      </c>
      <c r="I46" s="45">
        <v>11.7</v>
      </c>
    </row>
    <row r="47" spans="1:9" x14ac:dyDescent="0.35">
      <c r="A47" s="39" t="s">
        <v>79</v>
      </c>
      <c r="B47" s="40">
        <v>94</v>
      </c>
      <c r="C47" s="41">
        <v>-4.0816326530612242E-2</v>
      </c>
      <c r="D47" s="42">
        <v>29</v>
      </c>
      <c r="E47" s="43">
        <v>106</v>
      </c>
      <c r="F47" s="40">
        <v>438</v>
      </c>
      <c r="G47" s="41">
        <v>2.2883295194508009E-3</v>
      </c>
      <c r="H47" s="44">
        <v>307</v>
      </c>
      <c r="I47" s="45">
        <v>8</v>
      </c>
    </row>
    <row r="48" spans="1:9" x14ac:dyDescent="0.35">
      <c r="A48" s="39" t="s">
        <v>80</v>
      </c>
      <c r="B48" s="40">
        <v>666</v>
      </c>
      <c r="C48" s="41">
        <v>4.5248868778280547E-3</v>
      </c>
      <c r="D48" s="42">
        <v>30</v>
      </c>
      <c r="E48" s="43">
        <v>781</v>
      </c>
      <c r="F48" s="40">
        <v>3846</v>
      </c>
      <c r="G48" s="41">
        <v>1.8538135593220342E-2</v>
      </c>
      <c r="H48" s="44">
        <v>384</v>
      </c>
      <c r="I48" s="45">
        <v>9.1</v>
      </c>
    </row>
    <row r="49" spans="1:9" x14ac:dyDescent="0.35">
      <c r="A49" s="39" t="s">
        <v>81</v>
      </c>
      <c r="B49" s="40">
        <v>556</v>
      </c>
      <c r="C49" s="41">
        <v>-2.1126760563380281E-2</v>
      </c>
      <c r="D49" s="42">
        <v>17</v>
      </c>
      <c r="E49" s="43">
        <v>2561</v>
      </c>
      <c r="F49" s="40">
        <v>12745</v>
      </c>
      <c r="G49" s="41">
        <v>4.1428337963719572E-2</v>
      </c>
      <c r="H49" s="44">
        <v>1251</v>
      </c>
      <c r="I49" s="45">
        <v>20.6</v>
      </c>
    </row>
    <row r="50" spans="1:9" x14ac:dyDescent="0.35">
      <c r="A50" s="39" t="s">
        <v>82</v>
      </c>
      <c r="B50" s="40">
        <v>807</v>
      </c>
      <c r="C50" s="41">
        <v>9.7959183673469383E-2</v>
      </c>
      <c r="D50" s="42">
        <v>164</v>
      </c>
      <c r="E50" s="43">
        <v>397</v>
      </c>
      <c r="F50" s="40">
        <v>2629</v>
      </c>
      <c r="G50" s="41">
        <v>0.11209813874788491</v>
      </c>
      <c r="H50" s="44">
        <v>588</v>
      </c>
      <c r="I50" s="45">
        <v>3</v>
      </c>
    </row>
    <row r="51" spans="1:9" x14ac:dyDescent="0.35">
      <c r="A51" s="39" t="s">
        <v>83</v>
      </c>
      <c r="B51" s="40">
        <v>454</v>
      </c>
      <c r="C51" s="41">
        <v>4.6082949308755762E-2</v>
      </c>
      <c r="D51" s="42">
        <v>15</v>
      </c>
      <c r="E51" s="28" t="s">
        <v>186</v>
      </c>
      <c r="F51" s="40">
        <v>3863</v>
      </c>
      <c r="G51" s="41">
        <v>0.16848154869933449</v>
      </c>
      <c r="H51" s="44">
        <v>109</v>
      </c>
      <c r="I51" s="45">
        <v>11.7</v>
      </c>
    </row>
    <row r="52" spans="1:9" x14ac:dyDescent="0.35">
      <c r="A52" s="39" t="s">
        <v>84</v>
      </c>
      <c r="B52" s="40">
        <v>1241</v>
      </c>
      <c r="C52" s="41">
        <v>4.4612794612794611E-2</v>
      </c>
      <c r="D52" s="42">
        <v>130</v>
      </c>
      <c r="E52" s="43">
        <v>3606</v>
      </c>
      <c r="F52" s="40">
        <v>19112</v>
      </c>
      <c r="G52" s="41">
        <v>0.1210699202252464</v>
      </c>
      <c r="H52" s="44">
        <v>2143</v>
      </c>
      <c r="I52" s="45">
        <v>14.6</v>
      </c>
    </row>
    <row r="53" spans="1:9" x14ac:dyDescent="0.35">
      <c r="A53" s="39" t="s">
        <v>85</v>
      </c>
      <c r="B53" s="40" t="s">
        <v>188</v>
      </c>
      <c r="C53" s="41" t="s">
        <v>188</v>
      </c>
      <c r="D53" s="42" t="s">
        <v>188</v>
      </c>
      <c r="E53" s="43" t="s">
        <v>186</v>
      </c>
      <c r="F53" s="40">
        <v>342</v>
      </c>
      <c r="G53" s="41">
        <v>-1.4409221902017291E-2</v>
      </c>
      <c r="H53" s="44">
        <v>84</v>
      </c>
      <c r="I53" s="29" t="s">
        <v>187</v>
      </c>
    </row>
    <row r="54" spans="1:9" x14ac:dyDescent="0.35">
      <c r="A54" s="39" t="s">
        <v>86</v>
      </c>
      <c r="B54" s="40">
        <v>4306</v>
      </c>
      <c r="C54" s="41">
        <v>4.6669907632474479E-2</v>
      </c>
      <c r="D54" s="42">
        <v>2008</v>
      </c>
      <c r="E54" s="43">
        <v>4659</v>
      </c>
      <c r="F54" s="40">
        <v>40120</v>
      </c>
      <c r="G54" s="41">
        <v>4.8203788373612021E-2</v>
      </c>
      <c r="H54" s="44">
        <v>12501</v>
      </c>
      <c r="I54" s="45">
        <v>8.4</v>
      </c>
    </row>
    <row r="55" spans="1:9" x14ac:dyDescent="0.35">
      <c r="A55" s="39" t="s">
        <v>87</v>
      </c>
      <c r="B55" s="40">
        <v>266</v>
      </c>
      <c r="C55" s="41">
        <v>-3.7453183520599251E-3</v>
      </c>
      <c r="D55" s="42">
        <v>14</v>
      </c>
      <c r="E55" s="28" t="s">
        <v>186</v>
      </c>
      <c r="F55" s="40">
        <v>191</v>
      </c>
      <c r="G55" s="41">
        <v>0.22435897435897439</v>
      </c>
      <c r="H55" s="44">
        <v>4</v>
      </c>
      <c r="I55" s="29" t="s">
        <v>187</v>
      </c>
    </row>
    <row r="56" spans="1:9" x14ac:dyDescent="0.35">
      <c r="A56" s="39" t="s">
        <v>88</v>
      </c>
      <c r="B56" s="40">
        <v>717</v>
      </c>
      <c r="C56" s="41">
        <v>4.8245614035087717E-2</v>
      </c>
      <c r="D56" s="42">
        <v>343</v>
      </c>
      <c r="E56" s="43">
        <v>376</v>
      </c>
      <c r="F56" s="40">
        <v>7287</v>
      </c>
      <c r="G56" s="41">
        <v>6.7698259187620891E-3</v>
      </c>
      <c r="H56" s="44">
        <v>3010</v>
      </c>
      <c r="I56" s="45">
        <v>9.4</v>
      </c>
    </row>
    <row r="57" spans="1:9" x14ac:dyDescent="0.35">
      <c r="A57" s="39" t="s">
        <v>89</v>
      </c>
      <c r="B57" s="40">
        <v>432</v>
      </c>
      <c r="C57" s="41">
        <v>3.1026252983293551E-2</v>
      </c>
      <c r="D57" s="42">
        <v>18</v>
      </c>
      <c r="E57" s="43">
        <v>508</v>
      </c>
      <c r="F57" s="40">
        <v>2679</v>
      </c>
      <c r="G57" s="41">
        <v>0.1070247933884298</v>
      </c>
      <c r="H57" s="44">
        <v>65</v>
      </c>
      <c r="I57" s="45">
        <v>11</v>
      </c>
    </row>
    <row r="58" spans="1:9" x14ac:dyDescent="0.35">
      <c r="A58" s="39" t="s">
        <v>90</v>
      </c>
      <c r="B58" s="40">
        <v>45</v>
      </c>
      <c r="C58" s="41">
        <v>7.1428571428571425E-2</v>
      </c>
      <c r="D58" s="42">
        <v>2</v>
      </c>
      <c r="E58" s="43">
        <v>61</v>
      </c>
      <c r="F58" s="40">
        <v>81</v>
      </c>
      <c r="G58" s="41">
        <v>5.1948051948051951E-2</v>
      </c>
      <c r="H58" s="44">
        <v>1</v>
      </c>
      <c r="I58" s="45">
        <v>3.4</v>
      </c>
    </row>
    <row r="59" spans="1:9" x14ac:dyDescent="0.35">
      <c r="A59" s="39" t="s">
        <v>91</v>
      </c>
      <c r="B59" s="40">
        <v>1246</v>
      </c>
      <c r="C59" s="41">
        <v>1.2185215272136471E-2</v>
      </c>
      <c r="D59" s="42">
        <v>293</v>
      </c>
      <c r="E59" s="43">
        <v>2735</v>
      </c>
      <c r="F59" s="40">
        <v>20504</v>
      </c>
      <c r="G59" s="41">
        <v>7.7909788665755444E-2</v>
      </c>
      <c r="H59" s="44">
        <v>3036</v>
      </c>
      <c r="I59" s="45">
        <v>15.1</v>
      </c>
    </row>
    <row r="60" spans="1:9" x14ac:dyDescent="0.35">
      <c r="A60" s="39" t="s">
        <v>92</v>
      </c>
      <c r="B60" s="40">
        <v>1453</v>
      </c>
      <c r="C60" s="41">
        <v>3.2693674484719257E-2</v>
      </c>
      <c r="D60" s="42">
        <v>240</v>
      </c>
      <c r="E60" s="43">
        <v>2822</v>
      </c>
      <c r="F60" s="40">
        <v>20151</v>
      </c>
      <c r="G60" s="41">
        <v>6.3938753959873279E-2</v>
      </c>
      <c r="H60" s="44">
        <v>3507</v>
      </c>
      <c r="I60" s="45">
        <v>15</v>
      </c>
    </row>
    <row r="61" spans="1:9" x14ac:dyDescent="0.35">
      <c r="A61" s="39" t="s">
        <v>93</v>
      </c>
      <c r="B61" s="40">
        <v>474</v>
      </c>
      <c r="C61" s="41">
        <v>0</v>
      </c>
      <c r="D61" s="42">
        <v>15</v>
      </c>
      <c r="E61" s="43">
        <v>678</v>
      </c>
      <c r="F61" s="40">
        <v>3770</v>
      </c>
      <c r="G61" s="41">
        <v>0.13043478260869559</v>
      </c>
      <c r="H61" s="44">
        <v>126</v>
      </c>
      <c r="I61" s="45">
        <v>8.8000000000000007</v>
      </c>
    </row>
    <row r="62" spans="1:9" x14ac:dyDescent="0.35">
      <c r="A62" s="39" t="s">
        <v>94</v>
      </c>
      <c r="B62" s="40">
        <v>603</v>
      </c>
      <c r="C62" s="41">
        <v>6.6777963272120202E-3</v>
      </c>
      <c r="D62" s="42">
        <v>49</v>
      </c>
      <c r="E62" s="43">
        <v>1514</v>
      </c>
      <c r="F62" s="40">
        <v>8911</v>
      </c>
      <c r="G62" s="41">
        <v>8.9231145336755899E-2</v>
      </c>
      <c r="H62" s="44">
        <v>852</v>
      </c>
      <c r="I62" s="45">
        <v>15.2</v>
      </c>
    </row>
    <row r="63" spans="1:9" x14ac:dyDescent="0.35">
      <c r="A63" s="39" t="s">
        <v>95</v>
      </c>
      <c r="B63" s="40">
        <v>633</v>
      </c>
      <c r="C63" s="41">
        <v>4.975124378109453E-2</v>
      </c>
      <c r="D63" s="42">
        <v>19</v>
      </c>
      <c r="E63" s="43">
        <v>892</v>
      </c>
      <c r="F63" s="40">
        <v>4196</v>
      </c>
      <c r="G63" s="41">
        <v>0.150219298245614</v>
      </c>
      <c r="H63" s="44">
        <v>112</v>
      </c>
      <c r="I63" s="45">
        <v>9.8000000000000007</v>
      </c>
    </row>
    <row r="64" spans="1:9" ht="19" thickBot="1" x14ac:dyDescent="0.4">
      <c r="A64" s="46" t="s">
        <v>96</v>
      </c>
      <c r="B64" s="47">
        <v>24163</v>
      </c>
      <c r="C64" s="48">
        <v>1.658168552833396E-3</v>
      </c>
      <c r="D64" s="49" t="s">
        <v>97</v>
      </c>
      <c r="E64" s="50">
        <v>23630</v>
      </c>
      <c r="F64" s="47">
        <v>179423</v>
      </c>
      <c r="G64" s="48">
        <v>-1.346008984390035E-2</v>
      </c>
      <c r="H64" s="49" t="s">
        <v>97</v>
      </c>
      <c r="I64" s="51">
        <v>7.8209087931115171</v>
      </c>
    </row>
    <row r="66" spans="1:16" s="22" customFormat="1" ht="30.75" customHeight="1" x14ac:dyDescent="0.3">
      <c r="A66" s="55" t="s">
        <v>98</v>
      </c>
      <c r="B66" s="56"/>
      <c r="C66" s="56"/>
      <c r="D66" s="56"/>
      <c r="E66" s="56"/>
      <c r="F66" s="56"/>
      <c r="G66" s="56"/>
      <c r="H66" s="56"/>
      <c r="I66" s="57"/>
      <c r="K66" s="54"/>
      <c r="L66" s="54"/>
      <c r="M66" s="54"/>
      <c r="O66" s="54"/>
    </row>
    <row r="67" spans="1:16" s="22" customFormat="1" ht="42" customHeight="1" x14ac:dyDescent="0.3">
      <c r="A67" s="137" t="s">
        <v>99</v>
      </c>
      <c r="B67" s="137"/>
      <c r="C67" s="137"/>
      <c r="D67" s="137"/>
      <c r="E67" s="137"/>
      <c r="F67" s="137"/>
      <c r="G67" s="137"/>
      <c r="H67" s="137"/>
      <c r="I67" s="137"/>
      <c r="K67" s="54"/>
      <c r="L67" s="54"/>
      <c r="M67" s="54"/>
    </row>
    <row r="68" spans="1:16" s="22" customFormat="1" ht="13" x14ac:dyDescent="0.3">
      <c r="A68" s="21" t="s">
        <v>100</v>
      </c>
      <c r="B68" s="58"/>
      <c r="C68" s="58"/>
      <c r="D68" s="58"/>
      <c r="E68" s="58"/>
      <c r="F68" s="58"/>
      <c r="G68" s="58"/>
      <c r="H68" s="58"/>
      <c r="I68" s="59"/>
      <c r="K68" s="54"/>
      <c r="L68" s="54"/>
      <c r="M68" s="54"/>
    </row>
    <row r="69" spans="1:16" s="22" customFormat="1" ht="25.5" customHeight="1" x14ac:dyDescent="0.3">
      <c r="A69" s="137" t="s">
        <v>101</v>
      </c>
      <c r="B69" s="137"/>
      <c r="C69" s="137"/>
      <c r="D69" s="137"/>
      <c r="E69" s="137"/>
      <c r="F69" s="137"/>
      <c r="G69" s="137"/>
      <c r="H69" s="137"/>
      <c r="I69" s="137"/>
      <c r="K69" s="54"/>
      <c r="L69" s="54"/>
      <c r="M69" s="54"/>
    </row>
    <row r="70" spans="1:16" s="22" customFormat="1" ht="12.75" customHeight="1" x14ac:dyDescent="0.3">
      <c r="A70" s="134" t="s">
        <v>102</v>
      </c>
      <c r="B70" s="134"/>
      <c r="C70" s="134"/>
      <c r="D70" s="134"/>
      <c r="E70" s="134"/>
      <c r="F70" s="134"/>
      <c r="G70" s="134"/>
      <c r="H70" s="134"/>
      <c r="I70" s="134"/>
      <c r="J70" s="1"/>
      <c r="K70" s="54"/>
      <c r="L70" s="54"/>
      <c r="M70" s="54"/>
      <c r="P70" s="1"/>
    </row>
    <row r="71" spans="1:16" s="22" customFormat="1" ht="24.75" customHeight="1" x14ac:dyDescent="0.3">
      <c r="A71" s="134" t="s">
        <v>103</v>
      </c>
      <c r="B71" s="134"/>
      <c r="C71" s="134"/>
      <c r="D71" s="134"/>
      <c r="E71" s="134"/>
      <c r="F71" s="134"/>
      <c r="G71" s="134"/>
      <c r="H71" s="134"/>
      <c r="I71" s="134"/>
      <c r="J71" s="1"/>
      <c r="K71" s="54"/>
      <c r="L71" s="54"/>
      <c r="M71" s="54"/>
      <c r="P71" s="1"/>
    </row>
    <row r="72" spans="1:16" s="22" customFormat="1" ht="42" customHeight="1" x14ac:dyDescent="0.3">
      <c r="A72" s="135" t="s">
        <v>104</v>
      </c>
      <c r="B72" s="135"/>
      <c r="C72" s="135"/>
      <c r="D72" s="135"/>
      <c r="E72" s="135"/>
      <c r="F72" s="135"/>
      <c r="G72" s="135"/>
      <c r="H72" s="135"/>
      <c r="I72" s="135"/>
      <c r="K72" s="54"/>
      <c r="L72" s="54"/>
      <c r="M72" s="54"/>
      <c r="O72" s="1"/>
    </row>
  </sheetData>
  <mergeCells count="7">
    <mergeCell ref="A71:I71"/>
    <mergeCell ref="A72:I72"/>
    <mergeCell ref="B3:D3"/>
    <mergeCell ref="F3:I3"/>
    <mergeCell ref="A67:I67"/>
    <mergeCell ref="A69:I69"/>
    <mergeCell ref="A70:I70"/>
  </mergeCells>
  <pageMargins left="0.7" right="0.7" top="0.75" bottom="0.75" header="0.3" footer="0.3"/>
  <pageSetup orientation="portrait" r:id="rId1"/>
  <headerFooter>
    <oddHeader>&amp;C&amp;"Calibri"&amp;10&amp;K000000 Internal Use Only&amp;1#_x000D_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78"/>
  <sheetViews>
    <sheetView workbookViewId="0"/>
  </sheetViews>
  <sheetFormatPr defaultRowHeight="14.5" x14ac:dyDescent="0.35"/>
  <cols>
    <col min="1" max="1" width="18.453125" customWidth="1"/>
    <col min="2" max="2" width="16.81640625" customWidth="1"/>
    <col min="3" max="5" width="11.54296875" customWidth="1"/>
    <col min="6" max="8" width="11.81640625" customWidth="1"/>
    <col min="10" max="10" width="7.54296875" customWidth="1"/>
    <col min="11" max="11" width="6.54296875" customWidth="1"/>
    <col min="12" max="12" width="3.81640625" customWidth="1"/>
    <col min="13" max="13" width="7.1796875" bestFit="1" customWidth="1"/>
  </cols>
  <sheetData>
    <row r="1" spans="1:10" ht="17.5" x14ac:dyDescent="0.35">
      <c r="A1" s="60" t="s">
        <v>184</v>
      </c>
    </row>
    <row r="2" spans="1:10" ht="15" thickBot="1" x14ac:dyDescent="0.4"/>
    <row r="3" spans="1:10" s="62" customFormat="1" ht="20.25" customHeight="1" thickBot="1" x14ac:dyDescent="0.4">
      <c r="A3" s="61"/>
      <c r="B3" s="139" t="s">
        <v>105</v>
      </c>
      <c r="C3" s="140" t="s">
        <v>106</v>
      </c>
      <c r="D3" s="140"/>
      <c r="E3" s="140"/>
      <c r="F3" s="141" t="s">
        <v>107</v>
      </c>
      <c r="G3" s="141"/>
      <c r="H3" s="141"/>
    </row>
    <row r="4" spans="1:10" s="62" customFormat="1" ht="20.25" customHeight="1" thickBot="1" x14ac:dyDescent="0.4">
      <c r="B4" s="139"/>
      <c r="C4" s="140"/>
      <c r="D4" s="140"/>
      <c r="E4" s="140"/>
      <c r="F4" s="141"/>
      <c r="G4" s="141"/>
      <c r="H4" s="141"/>
    </row>
    <row r="5" spans="1:10" s="62" customFormat="1" ht="15" customHeight="1" thickBot="1" x14ac:dyDescent="0.4">
      <c r="A5" s="63" t="s">
        <v>28</v>
      </c>
      <c r="B5" s="64" t="s">
        <v>105</v>
      </c>
      <c r="C5" s="65" t="s">
        <v>108</v>
      </c>
      <c r="D5" s="65" t="s">
        <v>109</v>
      </c>
      <c r="E5" s="65" t="s">
        <v>110</v>
      </c>
      <c r="F5" s="65" t="s">
        <v>111</v>
      </c>
      <c r="G5" s="65" t="s">
        <v>112</v>
      </c>
      <c r="H5" s="65" t="s">
        <v>113</v>
      </c>
    </row>
    <row r="6" spans="1:10" s="62" customFormat="1" x14ac:dyDescent="0.35">
      <c r="A6" s="66" t="s">
        <v>35</v>
      </c>
      <c r="B6" s="67">
        <v>66</v>
      </c>
      <c r="C6" s="67">
        <v>63</v>
      </c>
      <c r="D6" s="67">
        <v>0</v>
      </c>
      <c r="E6" s="67">
        <v>0</v>
      </c>
      <c r="F6" s="67">
        <v>0</v>
      </c>
      <c r="G6" s="67">
        <v>12</v>
      </c>
      <c r="H6" s="67">
        <v>0</v>
      </c>
      <c r="J6" s="122"/>
    </row>
    <row r="7" spans="1:10" s="62" customFormat="1" x14ac:dyDescent="0.35">
      <c r="A7" s="68" t="s">
        <v>36</v>
      </c>
      <c r="B7" s="67">
        <v>24</v>
      </c>
      <c r="C7" s="67">
        <v>32</v>
      </c>
      <c r="D7" s="67">
        <v>0</v>
      </c>
      <c r="E7" s="67">
        <v>1</v>
      </c>
      <c r="F7" s="67">
        <v>0</v>
      </c>
      <c r="G7" s="67">
        <v>6</v>
      </c>
      <c r="H7" s="67">
        <v>0</v>
      </c>
      <c r="J7" s="122"/>
    </row>
    <row r="8" spans="1:10" s="62" customFormat="1" x14ac:dyDescent="0.35">
      <c r="A8" s="68" t="s">
        <v>37</v>
      </c>
      <c r="B8" s="67">
        <v>68</v>
      </c>
      <c r="C8" s="67">
        <v>68</v>
      </c>
      <c r="D8" s="67">
        <v>0</v>
      </c>
      <c r="E8" s="67">
        <v>10</v>
      </c>
      <c r="F8" s="67">
        <v>0</v>
      </c>
      <c r="G8" s="67">
        <v>27</v>
      </c>
      <c r="H8" s="67">
        <v>3</v>
      </c>
      <c r="J8" s="122"/>
    </row>
    <row r="9" spans="1:10" s="62" customFormat="1" x14ac:dyDescent="0.35">
      <c r="A9" s="68" t="s">
        <v>39</v>
      </c>
      <c r="B9" s="67">
        <v>32</v>
      </c>
      <c r="C9" s="67">
        <v>25</v>
      </c>
      <c r="D9" s="67">
        <v>0</v>
      </c>
      <c r="E9" s="67">
        <v>1</v>
      </c>
      <c r="F9" s="67">
        <v>0</v>
      </c>
      <c r="G9" s="67">
        <v>11</v>
      </c>
      <c r="H9" s="67">
        <v>0</v>
      </c>
      <c r="J9" s="122"/>
    </row>
    <row r="10" spans="1:10" s="62" customFormat="1" x14ac:dyDescent="0.35">
      <c r="A10" s="68" t="s">
        <v>40</v>
      </c>
      <c r="B10" s="67">
        <v>169</v>
      </c>
      <c r="C10" s="67">
        <v>122</v>
      </c>
      <c r="D10" s="67">
        <v>2</v>
      </c>
      <c r="E10" s="67">
        <v>38</v>
      </c>
      <c r="F10" s="67">
        <v>1</v>
      </c>
      <c r="G10" s="67">
        <v>0</v>
      </c>
      <c r="H10" s="67">
        <v>0</v>
      </c>
      <c r="J10" s="122"/>
    </row>
    <row r="11" spans="1:10" s="62" customFormat="1" x14ac:dyDescent="0.35">
      <c r="A11" s="68" t="s">
        <v>41</v>
      </c>
      <c r="B11" s="67">
        <v>151</v>
      </c>
      <c r="C11" s="67">
        <v>125</v>
      </c>
      <c r="D11" s="67">
        <v>0</v>
      </c>
      <c r="E11" s="67">
        <v>43</v>
      </c>
      <c r="F11" s="67">
        <v>97</v>
      </c>
      <c r="G11" s="67">
        <v>63</v>
      </c>
      <c r="H11" s="67">
        <v>0</v>
      </c>
      <c r="J11" s="122"/>
    </row>
    <row r="12" spans="1:10" s="62" customFormat="1" x14ac:dyDescent="0.35">
      <c r="A12" s="68" t="s">
        <v>42</v>
      </c>
      <c r="B12" s="67">
        <v>84</v>
      </c>
      <c r="C12" s="67">
        <v>76</v>
      </c>
      <c r="D12" s="67">
        <v>0</v>
      </c>
      <c r="E12" s="67">
        <v>7</v>
      </c>
      <c r="F12" s="67">
        <v>0</v>
      </c>
      <c r="G12" s="67">
        <v>6</v>
      </c>
      <c r="H12" s="67">
        <v>0</v>
      </c>
      <c r="J12" s="122"/>
    </row>
    <row r="13" spans="1:10" s="62" customFormat="1" x14ac:dyDescent="0.35">
      <c r="A13" s="68" t="s">
        <v>44</v>
      </c>
      <c r="B13" s="67">
        <v>30</v>
      </c>
      <c r="C13" s="67">
        <v>27</v>
      </c>
      <c r="D13" s="67">
        <v>1</v>
      </c>
      <c r="E13" s="67">
        <v>5</v>
      </c>
      <c r="F13" s="67">
        <v>0</v>
      </c>
      <c r="G13" s="67">
        <v>12</v>
      </c>
      <c r="H13" s="67">
        <v>0</v>
      </c>
      <c r="J13" s="122"/>
    </row>
    <row r="14" spans="1:10" s="62" customFormat="1" x14ac:dyDescent="0.35">
      <c r="A14" s="68" t="s">
        <v>45</v>
      </c>
      <c r="B14" s="67">
        <v>24</v>
      </c>
      <c r="C14" s="67">
        <v>10</v>
      </c>
      <c r="D14" s="67">
        <v>0</v>
      </c>
      <c r="E14" s="67">
        <v>12</v>
      </c>
      <c r="F14" s="67">
        <v>0</v>
      </c>
      <c r="G14" s="67">
        <v>7</v>
      </c>
      <c r="H14" s="67">
        <v>0</v>
      </c>
      <c r="J14" s="122"/>
    </row>
    <row r="15" spans="1:10" s="62" customFormat="1" x14ac:dyDescent="0.35">
      <c r="A15" s="68" t="s">
        <v>46</v>
      </c>
      <c r="B15" s="67">
        <v>25</v>
      </c>
      <c r="C15" s="67">
        <v>24</v>
      </c>
      <c r="D15" s="67">
        <v>0</v>
      </c>
      <c r="E15" s="67">
        <v>3</v>
      </c>
      <c r="F15" s="67">
        <v>0</v>
      </c>
      <c r="G15" s="67">
        <v>8</v>
      </c>
      <c r="H15" s="67">
        <v>0</v>
      </c>
      <c r="J15" s="122"/>
    </row>
    <row r="16" spans="1:10" s="62" customFormat="1" x14ac:dyDescent="0.35">
      <c r="A16" s="68" t="s">
        <v>47</v>
      </c>
      <c r="B16" s="67">
        <v>229</v>
      </c>
      <c r="C16" s="67">
        <v>202</v>
      </c>
      <c r="D16" s="67">
        <v>0</v>
      </c>
      <c r="E16" s="67">
        <v>46</v>
      </c>
      <c r="F16" s="67">
        <v>4</v>
      </c>
      <c r="G16" s="67">
        <v>71</v>
      </c>
      <c r="H16" s="67">
        <v>0</v>
      </c>
      <c r="J16" s="122"/>
    </row>
    <row r="17" spans="1:11" s="62" customFormat="1" x14ac:dyDescent="0.35">
      <c r="A17" s="68" t="s">
        <v>48</v>
      </c>
      <c r="B17" s="67">
        <v>88</v>
      </c>
      <c r="C17" s="67">
        <v>110</v>
      </c>
      <c r="D17" s="67">
        <v>0</v>
      </c>
      <c r="E17" s="67">
        <v>6</v>
      </c>
      <c r="F17" s="67">
        <v>0</v>
      </c>
      <c r="G17" s="67">
        <v>29</v>
      </c>
      <c r="H17" s="67">
        <v>6</v>
      </c>
      <c r="J17" s="122"/>
    </row>
    <row r="18" spans="1:11" s="62" customFormat="1" x14ac:dyDescent="0.35">
      <c r="A18" s="68" t="s">
        <v>49</v>
      </c>
      <c r="B18" s="67">
        <v>0</v>
      </c>
      <c r="C18" s="67">
        <v>1</v>
      </c>
      <c r="D18" s="67">
        <v>0</v>
      </c>
      <c r="E18" s="67">
        <v>0</v>
      </c>
      <c r="F18" s="67">
        <v>0</v>
      </c>
      <c r="G18" s="67">
        <v>0</v>
      </c>
      <c r="H18" s="67">
        <v>0</v>
      </c>
      <c r="J18" s="122"/>
    </row>
    <row r="19" spans="1:11" s="62" customFormat="1" x14ac:dyDescent="0.35">
      <c r="A19" s="68" t="s">
        <v>50</v>
      </c>
      <c r="B19" s="67">
        <v>11</v>
      </c>
      <c r="C19" s="67">
        <v>5</v>
      </c>
      <c r="D19" s="75" t="s">
        <v>189</v>
      </c>
      <c r="E19" s="67">
        <v>5</v>
      </c>
      <c r="F19" s="67">
        <v>0</v>
      </c>
      <c r="G19" s="67">
        <v>0</v>
      </c>
      <c r="H19" s="67">
        <v>0</v>
      </c>
      <c r="J19" s="122"/>
      <c r="K19" s="123"/>
    </row>
    <row r="20" spans="1:11" s="62" customFormat="1" x14ac:dyDescent="0.35">
      <c r="A20" s="68" t="s">
        <v>51</v>
      </c>
      <c r="B20" s="67">
        <v>53</v>
      </c>
      <c r="C20" s="67">
        <v>48</v>
      </c>
      <c r="D20" s="67">
        <v>0</v>
      </c>
      <c r="E20" s="67">
        <v>4</v>
      </c>
      <c r="F20" s="67">
        <v>0</v>
      </c>
      <c r="G20" s="67">
        <v>9</v>
      </c>
      <c r="H20" s="67">
        <v>0</v>
      </c>
      <c r="J20" s="122"/>
    </row>
    <row r="21" spans="1:11" s="62" customFormat="1" x14ac:dyDescent="0.35">
      <c r="A21" s="68" t="s">
        <v>52</v>
      </c>
      <c r="B21" s="67">
        <v>26</v>
      </c>
      <c r="C21" s="67">
        <v>23</v>
      </c>
      <c r="D21" s="67">
        <v>1</v>
      </c>
      <c r="E21" s="67">
        <v>0</v>
      </c>
      <c r="F21" s="67">
        <v>2</v>
      </c>
      <c r="G21" s="67">
        <v>4</v>
      </c>
      <c r="H21" s="67">
        <v>0</v>
      </c>
      <c r="J21" s="122"/>
    </row>
    <row r="22" spans="1:11" s="62" customFormat="1" x14ac:dyDescent="0.35">
      <c r="A22" s="68" t="s">
        <v>53</v>
      </c>
      <c r="B22" s="67">
        <v>22</v>
      </c>
      <c r="C22" s="67">
        <v>13</v>
      </c>
      <c r="D22" s="67">
        <v>0</v>
      </c>
      <c r="E22" s="67">
        <v>2</v>
      </c>
      <c r="F22" s="67">
        <v>0</v>
      </c>
      <c r="G22" s="67">
        <v>4</v>
      </c>
      <c r="H22" s="67">
        <v>0</v>
      </c>
      <c r="J22" s="122"/>
    </row>
    <row r="23" spans="1:11" s="62" customFormat="1" x14ac:dyDescent="0.35">
      <c r="A23" s="68" t="s">
        <v>54</v>
      </c>
      <c r="B23" s="67">
        <v>32</v>
      </c>
      <c r="C23" s="67">
        <v>36</v>
      </c>
      <c r="D23" s="67">
        <v>0</v>
      </c>
      <c r="E23" s="67">
        <v>2</v>
      </c>
      <c r="F23" s="67">
        <v>0</v>
      </c>
      <c r="G23" s="67">
        <v>4</v>
      </c>
      <c r="H23" s="67">
        <v>0</v>
      </c>
      <c r="J23" s="122"/>
    </row>
    <row r="24" spans="1:11" s="62" customFormat="1" x14ac:dyDescent="0.35">
      <c r="A24" s="68" t="s">
        <v>55</v>
      </c>
      <c r="B24" s="67">
        <v>36</v>
      </c>
      <c r="C24" s="67">
        <v>37</v>
      </c>
      <c r="D24" s="67">
        <v>0</v>
      </c>
      <c r="E24" s="67">
        <v>4</v>
      </c>
      <c r="F24" s="67">
        <v>0</v>
      </c>
      <c r="G24" s="67">
        <v>15</v>
      </c>
      <c r="H24" s="67">
        <v>0</v>
      </c>
      <c r="J24" s="122"/>
    </row>
    <row r="25" spans="1:11" s="62" customFormat="1" x14ac:dyDescent="0.35">
      <c r="A25" s="68" t="s">
        <v>56</v>
      </c>
      <c r="B25" s="67">
        <v>30</v>
      </c>
      <c r="C25" s="67">
        <v>19</v>
      </c>
      <c r="D25" s="67">
        <v>0</v>
      </c>
      <c r="E25" s="67">
        <v>1</v>
      </c>
      <c r="F25" s="67">
        <v>1</v>
      </c>
      <c r="G25" s="67">
        <v>9</v>
      </c>
      <c r="H25" s="67">
        <v>0</v>
      </c>
      <c r="J25" s="122"/>
    </row>
    <row r="26" spans="1:11" s="62" customFormat="1" x14ac:dyDescent="0.35">
      <c r="A26" s="68" t="s">
        <v>57</v>
      </c>
      <c r="B26" s="67">
        <v>30</v>
      </c>
      <c r="C26" s="67">
        <v>15</v>
      </c>
      <c r="D26" s="67">
        <v>0</v>
      </c>
      <c r="E26" s="67">
        <v>3</v>
      </c>
      <c r="F26" s="67">
        <v>0</v>
      </c>
      <c r="G26" s="67">
        <v>8</v>
      </c>
      <c r="H26" s="67">
        <v>0</v>
      </c>
      <c r="J26" s="122"/>
    </row>
    <row r="27" spans="1:11" s="62" customFormat="1" x14ac:dyDescent="0.35">
      <c r="A27" s="68" t="s">
        <v>58</v>
      </c>
      <c r="B27" s="67">
        <v>22</v>
      </c>
      <c r="C27" s="67">
        <v>28</v>
      </c>
      <c r="D27" s="67">
        <v>0</v>
      </c>
      <c r="E27" s="67">
        <v>1</v>
      </c>
      <c r="F27" s="67">
        <v>0</v>
      </c>
      <c r="G27" s="67">
        <v>4</v>
      </c>
      <c r="H27" s="67">
        <v>0</v>
      </c>
      <c r="J27" s="122"/>
    </row>
    <row r="28" spans="1:11" s="62" customFormat="1" x14ac:dyDescent="0.35">
      <c r="A28" s="68" t="s">
        <v>59</v>
      </c>
      <c r="B28" s="67">
        <v>21</v>
      </c>
      <c r="C28" s="67">
        <v>26</v>
      </c>
      <c r="D28" s="67">
        <v>0</v>
      </c>
      <c r="E28" s="67">
        <v>6</v>
      </c>
      <c r="F28" s="67">
        <v>0</v>
      </c>
      <c r="G28" s="67">
        <v>6</v>
      </c>
      <c r="H28" s="67">
        <v>2</v>
      </c>
      <c r="J28" s="122"/>
    </row>
    <row r="29" spans="1:11" s="62" customFormat="1" x14ac:dyDescent="0.35">
      <c r="A29" s="68" t="s">
        <v>60</v>
      </c>
      <c r="B29" s="67">
        <v>50</v>
      </c>
      <c r="C29" s="67">
        <v>41</v>
      </c>
      <c r="D29" s="67">
        <v>0</v>
      </c>
      <c r="E29" s="67">
        <v>8</v>
      </c>
      <c r="F29" s="67">
        <v>0</v>
      </c>
      <c r="G29" s="67">
        <v>17</v>
      </c>
      <c r="H29" s="67">
        <v>69</v>
      </c>
      <c r="J29" s="122"/>
    </row>
    <row r="30" spans="1:11" s="62" customFormat="1" x14ac:dyDescent="0.35">
      <c r="A30" s="68" t="s">
        <v>61</v>
      </c>
      <c r="B30" s="67">
        <v>61</v>
      </c>
      <c r="C30" s="67">
        <v>56</v>
      </c>
      <c r="D30" s="67">
        <v>0</v>
      </c>
      <c r="E30" s="67">
        <v>24</v>
      </c>
      <c r="F30" s="67">
        <v>0</v>
      </c>
      <c r="G30" s="67">
        <v>15</v>
      </c>
      <c r="H30" s="67">
        <v>0</v>
      </c>
      <c r="J30" s="122"/>
    </row>
    <row r="31" spans="1:11" s="62" customFormat="1" x14ac:dyDescent="0.35">
      <c r="A31" s="68" t="s">
        <v>62</v>
      </c>
      <c r="B31" s="67">
        <v>119</v>
      </c>
      <c r="C31" s="67">
        <v>100</v>
      </c>
      <c r="D31" s="67">
        <v>0</v>
      </c>
      <c r="E31" s="67">
        <v>11</v>
      </c>
      <c r="F31" s="67">
        <v>0</v>
      </c>
      <c r="G31" s="67">
        <v>20</v>
      </c>
      <c r="H31" s="67">
        <v>0</v>
      </c>
      <c r="J31" s="122"/>
    </row>
    <row r="32" spans="1:11" s="62" customFormat="1" x14ac:dyDescent="0.35">
      <c r="A32" s="68" t="s">
        <v>63</v>
      </c>
      <c r="B32" s="67">
        <v>56</v>
      </c>
      <c r="C32" s="67">
        <v>57</v>
      </c>
      <c r="D32" s="67">
        <v>0</v>
      </c>
      <c r="E32" s="67">
        <v>14</v>
      </c>
      <c r="F32" s="67">
        <v>0</v>
      </c>
      <c r="G32" s="67">
        <v>10</v>
      </c>
      <c r="H32" s="67">
        <v>0</v>
      </c>
      <c r="J32" s="122"/>
    </row>
    <row r="33" spans="1:10" s="62" customFormat="1" x14ac:dyDescent="0.35">
      <c r="A33" s="68" t="s">
        <v>64</v>
      </c>
      <c r="B33" s="67">
        <v>18</v>
      </c>
      <c r="C33" s="67">
        <v>15</v>
      </c>
      <c r="D33" s="67">
        <v>0</v>
      </c>
      <c r="E33" s="67">
        <v>2</v>
      </c>
      <c r="F33" s="67">
        <v>0</v>
      </c>
      <c r="G33" s="67">
        <v>3</v>
      </c>
      <c r="H33" s="67">
        <v>0</v>
      </c>
      <c r="J33" s="122"/>
    </row>
    <row r="34" spans="1:10" s="62" customFormat="1" x14ac:dyDescent="0.35">
      <c r="A34" s="68" t="s">
        <v>65</v>
      </c>
      <c r="B34" s="67">
        <v>20</v>
      </c>
      <c r="C34" s="67">
        <v>10</v>
      </c>
      <c r="D34" s="67">
        <v>0</v>
      </c>
      <c r="E34" s="67">
        <v>2</v>
      </c>
      <c r="F34" s="67">
        <v>0</v>
      </c>
      <c r="G34" s="67">
        <v>6</v>
      </c>
      <c r="H34" s="67">
        <v>1</v>
      </c>
      <c r="J34" s="122"/>
    </row>
    <row r="35" spans="1:10" s="62" customFormat="1" x14ac:dyDescent="0.35">
      <c r="A35" s="68" t="s">
        <v>66</v>
      </c>
      <c r="B35" s="67">
        <v>33</v>
      </c>
      <c r="C35" s="67">
        <v>30</v>
      </c>
      <c r="D35" s="67">
        <v>0</v>
      </c>
      <c r="E35" s="67">
        <v>1</v>
      </c>
      <c r="F35" s="67">
        <v>0</v>
      </c>
      <c r="G35" s="67">
        <v>8</v>
      </c>
      <c r="H35" s="67">
        <v>0</v>
      </c>
      <c r="J35" s="122"/>
    </row>
    <row r="36" spans="1:10" s="62" customFormat="1" x14ac:dyDescent="0.35">
      <c r="A36" s="68" t="s">
        <v>67</v>
      </c>
      <c r="B36" s="67">
        <v>35</v>
      </c>
      <c r="C36" s="67">
        <v>50</v>
      </c>
      <c r="D36" s="67">
        <v>0</v>
      </c>
      <c r="E36" s="67">
        <v>4</v>
      </c>
      <c r="F36" s="67">
        <v>0</v>
      </c>
      <c r="G36" s="67">
        <v>8</v>
      </c>
      <c r="H36" s="67">
        <v>0</v>
      </c>
      <c r="J36" s="122"/>
    </row>
    <row r="37" spans="1:10" s="62" customFormat="1" x14ac:dyDescent="0.35">
      <c r="A37" s="68" t="s">
        <v>68</v>
      </c>
      <c r="B37" s="67">
        <v>41</v>
      </c>
      <c r="C37" s="67">
        <v>28</v>
      </c>
      <c r="D37" s="67">
        <v>0</v>
      </c>
      <c r="E37" s="67">
        <v>15</v>
      </c>
      <c r="F37" s="67">
        <v>0</v>
      </c>
      <c r="G37" s="67">
        <v>16</v>
      </c>
      <c r="H37" s="67">
        <v>2</v>
      </c>
      <c r="J37" s="122"/>
    </row>
    <row r="38" spans="1:10" s="62" customFormat="1" x14ac:dyDescent="0.35">
      <c r="A38" s="68" t="s">
        <v>69</v>
      </c>
      <c r="B38" s="67">
        <v>20</v>
      </c>
      <c r="C38" s="67">
        <v>18</v>
      </c>
      <c r="D38" s="67">
        <v>0</v>
      </c>
      <c r="E38" s="67">
        <v>3</v>
      </c>
      <c r="F38" s="67">
        <v>0</v>
      </c>
      <c r="G38" s="67">
        <v>3</v>
      </c>
      <c r="H38" s="67">
        <v>0</v>
      </c>
      <c r="J38" s="122"/>
    </row>
    <row r="39" spans="1:10" s="62" customFormat="1" x14ac:dyDescent="0.35">
      <c r="A39" s="68" t="s">
        <v>70</v>
      </c>
      <c r="B39" s="67">
        <v>42</v>
      </c>
      <c r="C39" s="67">
        <v>34</v>
      </c>
      <c r="D39" s="67">
        <v>0</v>
      </c>
      <c r="E39" s="67">
        <v>2</v>
      </c>
      <c r="F39" s="67">
        <v>0</v>
      </c>
      <c r="G39" s="67">
        <v>17</v>
      </c>
      <c r="H39" s="67">
        <v>0</v>
      </c>
      <c r="J39" s="122"/>
    </row>
    <row r="40" spans="1:10" s="62" customFormat="1" x14ac:dyDescent="0.35">
      <c r="A40" s="68" t="s">
        <v>71</v>
      </c>
      <c r="B40" s="67">
        <v>17</v>
      </c>
      <c r="C40" s="67">
        <v>23</v>
      </c>
      <c r="D40" s="67">
        <v>0</v>
      </c>
      <c r="E40" s="67">
        <v>3</v>
      </c>
      <c r="F40" s="67">
        <v>0</v>
      </c>
      <c r="G40" s="67">
        <v>7</v>
      </c>
      <c r="H40" s="67">
        <v>0</v>
      </c>
      <c r="J40" s="122"/>
    </row>
    <row r="41" spans="1:10" s="62" customFormat="1" x14ac:dyDescent="0.35">
      <c r="A41" s="68" t="s">
        <v>72</v>
      </c>
      <c r="B41" s="67">
        <v>18</v>
      </c>
      <c r="C41" s="67">
        <v>12</v>
      </c>
      <c r="D41" s="67">
        <v>1</v>
      </c>
      <c r="E41" s="67">
        <v>7</v>
      </c>
      <c r="F41" s="67">
        <v>0</v>
      </c>
      <c r="G41" s="67">
        <v>6</v>
      </c>
      <c r="H41" s="67">
        <v>3</v>
      </c>
      <c r="J41" s="122"/>
    </row>
    <row r="42" spans="1:10" s="62" customFormat="1" x14ac:dyDescent="0.35">
      <c r="A42" s="68" t="s">
        <v>73</v>
      </c>
      <c r="B42" s="67">
        <v>78</v>
      </c>
      <c r="C42" s="67">
        <v>42</v>
      </c>
      <c r="D42" s="67">
        <v>0</v>
      </c>
      <c r="E42" s="67">
        <v>18</v>
      </c>
      <c r="F42" s="67">
        <v>0</v>
      </c>
      <c r="G42" s="67">
        <v>13</v>
      </c>
      <c r="H42" s="67">
        <v>4</v>
      </c>
      <c r="J42" s="122"/>
    </row>
    <row r="43" spans="1:10" s="62" customFormat="1" x14ac:dyDescent="0.35">
      <c r="A43" s="68" t="s">
        <v>74</v>
      </c>
      <c r="B43" s="67">
        <v>29</v>
      </c>
      <c r="C43" s="67">
        <v>24</v>
      </c>
      <c r="D43" s="67">
        <v>0</v>
      </c>
      <c r="E43" s="67">
        <v>1</v>
      </c>
      <c r="F43" s="67">
        <v>0</v>
      </c>
      <c r="G43" s="67">
        <v>12</v>
      </c>
      <c r="H43" s="67">
        <v>0</v>
      </c>
      <c r="J43" s="122"/>
    </row>
    <row r="44" spans="1:10" s="62" customFormat="1" x14ac:dyDescent="0.35">
      <c r="A44" s="68" t="s">
        <v>75</v>
      </c>
      <c r="B44" s="67">
        <v>49</v>
      </c>
      <c r="C44" s="67">
        <v>44</v>
      </c>
      <c r="D44" s="67">
        <v>0</v>
      </c>
      <c r="E44" s="67">
        <v>10</v>
      </c>
      <c r="F44" s="67">
        <v>0</v>
      </c>
      <c r="G44" s="67">
        <v>10</v>
      </c>
      <c r="H44" s="67">
        <v>0</v>
      </c>
      <c r="J44" s="122"/>
    </row>
    <row r="45" spans="1:10" s="62" customFormat="1" x14ac:dyDescent="0.35">
      <c r="A45" s="68" t="s">
        <v>76</v>
      </c>
      <c r="B45" s="67">
        <v>98</v>
      </c>
      <c r="C45" s="67">
        <v>103</v>
      </c>
      <c r="D45" s="67">
        <v>0</v>
      </c>
      <c r="E45" s="67">
        <v>1</v>
      </c>
      <c r="F45" s="67">
        <v>0</v>
      </c>
      <c r="G45" s="67">
        <v>21</v>
      </c>
      <c r="H45" s="67">
        <v>0</v>
      </c>
      <c r="J45" s="122"/>
    </row>
    <row r="46" spans="1:10" s="62" customFormat="1" x14ac:dyDescent="0.35">
      <c r="A46" s="68" t="s">
        <v>77</v>
      </c>
      <c r="B46" s="67">
        <v>45</v>
      </c>
      <c r="C46" s="67">
        <v>51</v>
      </c>
      <c r="D46" s="67">
        <v>0</v>
      </c>
      <c r="E46" s="67">
        <v>3</v>
      </c>
      <c r="F46" s="67">
        <v>0</v>
      </c>
      <c r="G46" s="67">
        <v>13</v>
      </c>
      <c r="H46" s="67">
        <v>0</v>
      </c>
      <c r="J46" s="122"/>
    </row>
    <row r="47" spans="1:10" s="62" customFormat="1" x14ac:dyDescent="0.35">
      <c r="A47" s="68" t="s">
        <v>78</v>
      </c>
      <c r="B47" s="67">
        <v>53</v>
      </c>
      <c r="C47" s="67">
        <v>62</v>
      </c>
      <c r="D47" s="67">
        <v>0</v>
      </c>
      <c r="E47" s="67">
        <v>7</v>
      </c>
      <c r="F47" s="67">
        <v>0</v>
      </c>
      <c r="G47" s="67">
        <v>24</v>
      </c>
      <c r="H47" s="67">
        <v>0</v>
      </c>
      <c r="J47" s="122"/>
    </row>
    <row r="48" spans="1:10" s="62" customFormat="1" x14ac:dyDescent="0.35">
      <c r="A48" s="68" t="s">
        <v>79</v>
      </c>
      <c r="B48" s="67">
        <v>2</v>
      </c>
      <c r="C48" s="67">
        <v>5</v>
      </c>
      <c r="D48" s="67">
        <v>0</v>
      </c>
      <c r="E48" s="67">
        <v>2</v>
      </c>
      <c r="F48" s="67">
        <v>0</v>
      </c>
      <c r="G48" s="67">
        <v>0</v>
      </c>
      <c r="H48" s="67">
        <v>0</v>
      </c>
      <c r="J48" s="122"/>
    </row>
    <row r="49" spans="1:10" s="62" customFormat="1" x14ac:dyDescent="0.35">
      <c r="A49" s="68" t="s">
        <v>80</v>
      </c>
      <c r="B49" s="67">
        <v>27</v>
      </c>
      <c r="C49" s="67">
        <v>23</v>
      </c>
      <c r="D49" s="67">
        <v>0</v>
      </c>
      <c r="E49" s="67">
        <v>3</v>
      </c>
      <c r="F49" s="67">
        <v>0</v>
      </c>
      <c r="G49" s="67">
        <v>14</v>
      </c>
      <c r="H49" s="67">
        <v>0</v>
      </c>
      <c r="J49" s="122"/>
    </row>
    <row r="50" spans="1:10" s="62" customFormat="1" x14ac:dyDescent="0.35">
      <c r="A50" s="68" t="s">
        <v>81</v>
      </c>
      <c r="B50" s="67">
        <v>31</v>
      </c>
      <c r="C50" s="67">
        <v>33</v>
      </c>
      <c r="D50" s="67">
        <v>0</v>
      </c>
      <c r="E50" s="67">
        <v>1</v>
      </c>
      <c r="F50" s="67">
        <v>0</v>
      </c>
      <c r="G50" s="67">
        <v>14</v>
      </c>
      <c r="H50" s="67">
        <v>0</v>
      </c>
      <c r="J50" s="122"/>
    </row>
    <row r="51" spans="1:10" s="62" customFormat="1" x14ac:dyDescent="0.35">
      <c r="A51" s="68" t="s">
        <v>82</v>
      </c>
      <c r="B51" s="67">
        <v>51</v>
      </c>
      <c r="C51" s="67">
        <v>51</v>
      </c>
      <c r="D51" s="67">
        <v>0</v>
      </c>
      <c r="E51" s="67">
        <v>2</v>
      </c>
      <c r="F51" s="67">
        <v>0</v>
      </c>
      <c r="G51" s="67">
        <v>9</v>
      </c>
      <c r="H51" s="67">
        <v>0</v>
      </c>
      <c r="J51" s="122"/>
    </row>
    <row r="52" spans="1:10" s="62" customFormat="1" x14ac:dyDescent="0.35">
      <c r="A52" s="68" t="s">
        <v>83</v>
      </c>
      <c r="B52" s="67">
        <v>19</v>
      </c>
      <c r="C52" s="67">
        <v>16</v>
      </c>
      <c r="D52" s="67">
        <v>0</v>
      </c>
      <c r="E52" s="67">
        <v>0</v>
      </c>
      <c r="F52" s="67">
        <v>0</v>
      </c>
      <c r="G52" s="67">
        <v>4</v>
      </c>
      <c r="H52" s="67">
        <v>0</v>
      </c>
      <c r="J52" s="122"/>
    </row>
    <row r="53" spans="1:10" s="62" customFormat="1" x14ac:dyDescent="0.35">
      <c r="A53" s="68" t="s">
        <v>84</v>
      </c>
      <c r="B53" s="67">
        <v>41</v>
      </c>
      <c r="C53" s="67">
        <v>33</v>
      </c>
      <c r="D53" s="67">
        <v>0</v>
      </c>
      <c r="E53" s="67">
        <v>5</v>
      </c>
      <c r="F53" s="67">
        <v>0</v>
      </c>
      <c r="G53" s="67">
        <v>14</v>
      </c>
      <c r="H53" s="67">
        <v>0</v>
      </c>
      <c r="J53" s="122"/>
    </row>
    <row r="54" spans="1:10" s="62" customFormat="1" x14ac:dyDescent="0.35">
      <c r="A54" s="68" t="s">
        <v>86</v>
      </c>
      <c r="B54" s="67">
        <v>176</v>
      </c>
      <c r="C54" s="67">
        <v>180</v>
      </c>
      <c r="D54" s="67">
        <v>0</v>
      </c>
      <c r="E54" s="67">
        <v>56</v>
      </c>
      <c r="F54" s="67">
        <v>0</v>
      </c>
      <c r="G54" s="67">
        <v>33</v>
      </c>
      <c r="H54" s="67">
        <v>0</v>
      </c>
      <c r="J54" s="122"/>
    </row>
    <row r="55" spans="1:10" s="62" customFormat="1" x14ac:dyDescent="0.35">
      <c r="A55" s="68" t="s">
        <v>87</v>
      </c>
      <c r="B55" s="67">
        <v>3</v>
      </c>
      <c r="C55" s="67">
        <v>2</v>
      </c>
      <c r="D55" s="67">
        <v>0</v>
      </c>
      <c r="E55" s="67">
        <v>2</v>
      </c>
      <c r="F55" s="67">
        <v>0</v>
      </c>
      <c r="G55" s="67">
        <v>3</v>
      </c>
      <c r="H55" s="67">
        <v>0</v>
      </c>
      <c r="J55" s="122"/>
    </row>
    <row r="56" spans="1:10" s="62" customFormat="1" x14ac:dyDescent="0.35">
      <c r="A56" s="68" t="s">
        <v>88</v>
      </c>
      <c r="B56" s="67">
        <v>26</v>
      </c>
      <c r="C56" s="67">
        <v>20</v>
      </c>
      <c r="D56" s="67">
        <v>0</v>
      </c>
      <c r="E56" s="67">
        <v>2</v>
      </c>
      <c r="F56" s="67">
        <v>0</v>
      </c>
      <c r="G56" s="67">
        <v>4</v>
      </c>
      <c r="H56" s="67">
        <v>0</v>
      </c>
      <c r="J56" s="122"/>
    </row>
    <row r="57" spans="1:10" s="62" customFormat="1" x14ac:dyDescent="0.35">
      <c r="A57" s="68" t="s">
        <v>89</v>
      </c>
      <c r="B57" s="67">
        <v>34</v>
      </c>
      <c r="C57" s="67">
        <v>49</v>
      </c>
      <c r="D57" s="67">
        <v>0</v>
      </c>
      <c r="E57" s="67">
        <v>4</v>
      </c>
      <c r="F57" s="67">
        <v>0</v>
      </c>
      <c r="G57" s="67">
        <v>14</v>
      </c>
      <c r="H57" s="67">
        <v>0</v>
      </c>
      <c r="J57" s="122"/>
    </row>
    <row r="58" spans="1:10" s="62" customFormat="1" x14ac:dyDescent="0.35">
      <c r="A58" s="69" t="s">
        <v>90</v>
      </c>
      <c r="B58" s="67">
        <v>2</v>
      </c>
      <c r="C58" s="67">
        <v>1</v>
      </c>
      <c r="D58" s="67">
        <v>0</v>
      </c>
      <c r="E58" s="67">
        <v>0</v>
      </c>
      <c r="F58" s="67">
        <v>0</v>
      </c>
      <c r="G58" s="67">
        <v>3</v>
      </c>
      <c r="H58" s="67">
        <v>0</v>
      </c>
      <c r="J58" s="122"/>
    </row>
    <row r="59" spans="1:10" s="62" customFormat="1" x14ac:dyDescent="0.35">
      <c r="A59" s="68" t="s">
        <v>91</v>
      </c>
      <c r="B59" s="67">
        <v>60</v>
      </c>
      <c r="C59" s="67">
        <v>38</v>
      </c>
      <c r="D59" s="67">
        <v>0</v>
      </c>
      <c r="E59" s="67">
        <v>28</v>
      </c>
      <c r="F59" s="67">
        <v>0</v>
      </c>
      <c r="G59" s="67">
        <v>25</v>
      </c>
      <c r="H59" s="67">
        <v>0</v>
      </c>
      <c r="J59" s="122"/>
    </row>
    <row r="60" spans="1:10" s="62" customFormat="1" x14ac:dyDescent="0.35">
      <c r="A60" s="68" t="s">
        <v>92</v>
      </c>
      <c r="B60" s="67">
        <v>70</v>
      </c>
      <c r="C60" s="67">
        <v>39</v>
      </c>
      <c r="D60" s="67">
        <v>0</v>
      </c>
      <c r="E60" s="67">
        <v>10</v>
      </c>
      <c r="F60" s="67">
        <v>0</v>
      </c>
      <c r="G60" s="67">
        <v>16</v>
      </c>
      <c r="H60" s="67">
        <v>3</v>
      </c>
      <c r="J60" s="122"/>
    </row>
    <row r="61" spans="1:10" s="62" customFormat="1" x14ac:dyDescent="0.35">
      <c r="A61" s="68" t="s">
        <v>93</v>
      </c>
      <c r="B61" s="67">
        <v>19</v>
      </c>
      <c r="C61" s="67">
        <v>20</v>
      </c>
      <c r="D61" s="67">
        <v>0</v>
      </c>
      <c r="E61" s="67">
        <v>2</v>
      </c>
      <c r="F61" s="67">
        <v>0</v>
      </c>
      <c r="G61" s="67">
        <v>5</v>
      </c>
      <c r="H61" s="67">
        <v>0</v>
      </c>
      <c r="J61" s="122"/>
    </row>
    <row r="62" spans="1:10" s="62" customFormat="1" x14ac:dyDescent="0.35">
      <c r="A62" s="68" t="s">
        <v>94</v>
      </c>
      <c r="B62" s="67">
        <v>33</v>
      </c>
      <c r="C62" s="67">
        <v>26</v>
      </c>
      <c r="D62" s="67">
        <v>0</v>
      </c>
      <c r="E62" s="67">
        <v>3</v>
      </c>
      <c r="F62" s="67">
        <v>0</v>
      </c>
      <c r="G62" s="67">
        <v>13</v>
      </c>
      <c r="H62" s="67">
        <v>0</v>
      </c>
      <c r="J62" s="122"/>
    </row>
    <row r="63" spans="1:10" s="62" customFormat="1" x14ac:dyDescent="0.35">
      <c r="A63" s="68" t="s">
        <v>95</v>
      </c>
      <c r="B63" s="67">
        <v>26</v>
      </c>
      <c r="C63" s="67">
        <v>27</v>
      </c>
      <c r="D63" s="67">
        <v>0</v>
      </c>
      <c r="E63" s="67">
        <v>1</v>
      </c>
      <c r="F63" s="67">
        <v>0</v>
      </c>
      <c r="G63" s="67">
        <v>7</v>
      </c>
      <c r="H63" s="67">
        <v>0</v>
      </c>
      <c r="J63" s="122"/>
    </row>
    <row r="64" spans="1:10" s="62" customFormat="1" ht="19" thickBot="1" x14ac:dyDescent="0.4">
      <c r="A64" s="46" t="s">
        <v>114</v>
      </c>
      <c r="B64" s="70">
        <v>2775</v>
      </c>
      <c r="C64" s="70">
        <v>2498</v>
      </c>
      <c r="D64" s="70">
        <v>5</v>
      </c>
      <c r="E64" s="70">
        <v>457</v>
      </c>
      <c r="F64" s="70">
        <v>105</v>
      </c>
      <c r="G64" s="70">
        <v>722</v>
      </c>
      <c r="H64" s="70">
        <v>93</v>
      </c>
      <c r="J64" s="122"/>
    </row>
    <row r="65" spans="1:9" s="62" customFormat="1" x14ac:dyDescent="0.35">
      <c r="A65" s="71"/>
      <c r="B65" s="71"/>
      <c r="C65" s="71"/>
      <c r="D65" s="71"/>
      <c r="E65" s="71"/>
      <c r="F65" s="71"/>
      <c r="G65" s="71"/>
      <c r="H65" s="71"/>
    </row>
    <row r="66" spans="1:9" s="62" customFormat="1" x14ac:dyDescent="0.35"/>
    <row r="67" spans="1:9" s="62" customFormat="1" x14ac:dyDescent="0.35">
      <c r="A67" s="72" t="s">
        <v>98</v>
      </c>
    </row>
    <row r="68" spans="1:9" s="62" customFormat="1" x14ac:dyDescent="0.35">
      <c r="A68" s="142" t="s">
        <v>115</v>
      </c>
      <c r="B68" s="142"/>
      <c r="C68" s="142"/>
      <c r="D68" s="142"/>
      <c r="E68" s="142"/>
      <c r="F68" s="142"/>
      <c r="G68" s="142"/>
      <c r="H68" s="142"/>
    </row>
    <row r="69" spans="1:9" s="62" customFormat="1" x14ac:dyDescent="0.35">
      <c r="A69" s="73" t="s">
        <v>116</v>
      </c>
    </row>
    <row r="70" spans="1:9" s="62" customFormat="1" x14ac:dyDescent="0.35">
      <c r="A70" s="143"/>
      <c r="B70" s="143"/>
      <c r="C70" s="143"/>
      <c r="D70" s="143"/>
      <c r="E70" s="143"/>
      <c r="F70" s="143"/>
      <c r="G70" s="143"/>
      <c r="H70" s="143"/>
      <c r="I70" s="74"/>
    </row>
    <row r="71" spans="1:9" s="62" customFormat="1" x14ac:dyDescent="0.35">
      <c r="A71" s="22"/>
    </row>
    <row r="72" spans="1:9" s="62" customFormat="1" x14ac:dyDescent="0.35">
      <c r="A72" s="72" t="s">
        <v>117</v>
      </c>
    </row>
    <row r="73" spans="1:9" s="62" customFormat="1" ht="29.25" customHeight="1" x14ac:dyDescent="0.35">
      <c r="A73" s="138" t="s">
        <v>118</v>
      </c>
      <c r="B73" s="138"/>
      <c r="C73" s="138"/>
      <c r="D73" s="138"/>
      <c r="E73" s="138"/>
      <c r="F73" s="138"/>
      <c r="G73" s="138"/>
      <c r="H73" s="138"/>
    </row>
    <row r="74" spans="1:9" s="62" customFormat="1" ht="26.25" customHeight="1" x14ac:dyDescent="0.35">
      <c r="A74" s="138" t="s">
        <v>119</v>
      </c>
      <c r="B74" s="138"/>
      <c r="C74" s="138"/>
      <c r="D74" s="138"/>
      <c r="E74" s="138"/>
      <c r="F74" s="138"/>
      <c r="G74" s="138"/>
      <c r="H74" s="138"/>
    </row>
    <row r="75" spans="1:9" s="62" customFormat="1" ht="27" customHeight="1" x14ac:dyDescent="0.35">
      <c r="A75" s="138" t="s">
        <v>120</v>
      </c>
      <c r="B75" s="138"/>
      <c r="C75" s="138"/>
      <c r="D75" s="138"/>
      <c r="E75" s="138"/>
      <c r="F75" s="138"/>
      <c r="G75" s="138"/>
      <c r="H75" s="138"/>
    </row>
    <row r="76" spans="1:9" s="62" customFormat="1" ht="39" customHeight="1" x14ac:dyDescent="0.35">
      <c r="A76" s="138" t="s">
        <v>121</v>
      </c>
      <c r="B76" s="138"/>
      <c r="C76" s="138"/>
      <c r="D76" s="138"/>
      <c r="E76" s="138"/>
      <c r="F76" s="138"/>
      <c r="G76" s="138"/>
      <c r="H76" s="138"/>
    </row>
    <row r="77" spans="1:9" s="62" customFormat="1" x14ac:dyDescent="0.35">
      <c r="A77" s="22" t="s">
        <v>122</v>
      </c>
    </row>
    <row r="78" spans="1:9" s="62" customFormat="1" x14ac:dyDescent="0.35">
      <c r="A78" s="22" t="s">
        <v>123</v>
      </c>
    </row>
  </sheetData>
  <mergeCells count="9">
    <mergeCell ref="A73:H73"/>
    <mergeCell ref="A74:H74"/>
    <mergeCell ref="A75:H75"/>
    <mergeCell ref="A76:H76"/>
    <mergeCell ref="B3:B4"/>
    <mergeCell ref="C3:E4"/>
    <mergeCell ref="F3:H4"/>
    <mergeCell ref="A68:H68"/>
    <mergeCell ref="A70:H70"/>
  </mergeCells>
  <pageMargins left="0.7" right="0.7" top="0.75" bottom="0.75" header="0.3" footer="0.3"/>
  <pageSetup orientation="portrait" r:id="rId1"/>
  <headerFooter>
    <oddHeader>&amp;C&amp;"Calibri"&amp;10&amp;K000000 Internal Use Only&amp;1#_x000D_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77"/>
  <sheetViews>
    <sheetView workbookViewId="0"/>
  </sheetViews>
  <sheetFormatPr defaultRowHeight="14.5" x14ac:dyDescent="0.35"/>
  <cols>
    <col min="1" max="1" width="18.453125" customWidth="1"/>
    <col min="2" max="2" width="16.81640625" customWidth="1"/>
    <col min="3" max="5" width="11.54296875" customWidth="1"/>
    <col min="6" max="8" width="11.81640625" customWidth="1"/>
    <col min="11" max="11" width="0" hidden="1" customWidth="1"/>
  </cols>
  <sheetData>
    <row r="1" spans="1:8" s="62" customFormat="1" ht="24.75" customHeight="1" x14ac:dyDescent="0.35">
      <c r="A1" s="76" t="s">
        <v>185</v>
      </c>
      <c r="B1" s="77"/>
      <c r="C1" s="77"/>
      <c r="D1" s="77"/>
      <c r="E1" s="77"/>
      <c r="F1" s="77"/>
      <c r="G1" s="77"/>
      <c r="H1" s="77"/>
    </row>
    <row r="2" spans="1:8" s="62" customFormat="1" ht="15" thickBot="1" x14ac:dyDescent="0.4"/>
    <row r="3" spans="1:8" s="62" customFormat="1" ht="20.25" customHeight="1" thickBot="1" x14ac:dyDescent="0.4">
      <c r="A3" s="61"/>
      <c r="B3" s="139" t="s">
        <v>105</v>
      </c>
      <c r="C3" s="140" t="s">
        <v>106</v>
      </c>
      <c r="D3" s="140"/>
      <c r="E3" s="140"/>
      <c r="F3" s="141" t="s">
        <v>107</v>
      </c>
      <c r="G3" s="141"/>
      <c r="H3" s="141"/>
    </row>
    <row r="4" spans="1:8" s="62" customFormat="1" ht="20.25" customHeight="1" thickBot="1" x14ac:dyDescent="0.4">
      <c r="B4" s="139"/>
      <c r="C4" s="140"/>
      <c r="D4" s="140"/>
      <c r="E4" s="140"/>
      <c r="F4" s="141"/>
      <c r="G4" s="141"/>
      <c r="H4" s="141"/>
    </row>
    <row r="5" spans="1:8" s="62" customFormat="1" ht="15" customHeight="1" thickBot="1" x14ac:dyDescent="0.4">
      <c r="A5" s="63" t="s">
        <v>28</v>
      </c>
      <c r="B5" s="65" t="s">
        <v>105</v>
      </c>
      <c r="C5" s="65" t="s">
        <v>108</v>
      </c>
      <c r="D5" s="65" t="s">
        <v>109</v>
      </c>
      <c r="E5" s="65" t="s">
        <v>110</v>
      </c>
      <c r="F5" s="65" t="s">
        <v>111</v>
      </c>
      <c r="G5" s="65" t="s">
        <v>112</v>
      </c>
      <c r="H5" s="65" t="s">
        <v>113</v>
      </c>
    </row>
    <row r="6" spans="1:8" s="62" customFormat="1" x14ac:dyDescent="0.35">
      <c r="A6" s="66" t="s">
        <v>35</v>
      </c>
      <c r="B6" s="67">
        <v>1097</v>
      </c>
      <c r="C6" s="67">
        <v>1157</v>
      </c>
      <c r="D6" s="67">
        <v>0</v>
      </c>
      <c r="E6" s="67">
        <v>105</v>
      </c>
      <c r="F6" s="67">
        <v>0</v>
      </c>
      <c r="G6" s="67">
        <v>14</v>
      </c>
      <c r="H6" s="67">
        <v>27</v>
      </c>
    </row>
    <row r="7" spans="1:8" s="62" customFormat="1" x14ac:dyDescent="0.35">
      <c r="A7" s="68" t="s">
        <v>36</v>
      </c>
      <c r="B7" s="67">
        <v>178</v>
      </c>
      <c r="C7" s="67">
        <v>175</v>
      </c>
      <c r="D7" s="67">
        <v>0</v>
      </c>
      <c r="E7" s="67">
        <v>10</v>
      </c>
      <c r="F7" s="67">
        <v>0</v>
      </c>
      <c r="G7" s="67">
        <v>5</v>
      </c>
      <c r="H7" s="67">
        <v>7</v>
      </c>
    </row>
    <row r="8" spans="1:8" s="62" customFormat="1" x14ac:dyDescent="0.35">
      <c r="A8" s="68" t="s">
        <v>37</v>
      </c>
      <c r="B8" s="67">
        <v>1389</v>
      </c>
      <c r="C8" s="67">
        <v>1394</v>
      </c>
      <c r="D8" s="67">
        <v>0</v>
      </c>
      <c r="E8" s="67">
        <v>51</v>
      </c>
      <c r="F8" s="67">
        <v>0</v>
      </c>
      <c r="G8" s="67">
        <v>15</v>
      </c>
      <c r="H8" s="67">
        <v>46</v>
      </c>
    </row>
    <row r="9" spans="1:8" s="62" customFormat="1" x14ac:dyDescent="0.35">
      <c r="A9" s="68" t="s">
        <v>39</v>
      </c>
      <c r="B9" s="67">
        <v>825</v>
      </c>
      <c r="C9" s="67">
        <v>720</v>
      </c>
      <c r="D9" s="67">
        <v>0</v>
      </c>
      <c r="E9" s="67">
        <v>50</v>
      </c>
      <c r="F9" s="67">
        <v>0</v>
      </c>
      <c r="G9" s="67">
        <v>38</v>
      </c>
      <c r="H9" s="67">
        <v>3</v>
      </c>
    </row>
    <row r="10" spans="1:8" s="62" customFormat="1" x14ac:dyDescent="0.35">
      <c r="A10" s="68" t="s">
        <v>40</v>
      </c>
      <c r="B10" s="67">
        <v>523</v>
      </c>
      <c r="C10" s="67">
        <v>369</v>
      </c>
      <c r="D10" s="67">
        <v>12</v>
      </c>
      <c r="E10" s="67">
        <v>40</v>
      </c>
      <c r="F10" s="67">
        <v>1</v>
      </c>
      <c r="G10" s="67">
        <v>1</v>
      </c>
      <c r="H10" s="67">
        <v>13</v>
      </c>
    </row>
    <row r="11" spans="1:8" s="62" customFormat="1" x14ac:dyDescent="0.35">
      <c r="A11" s="68" t="s">
        <v>41</v>
      </c>
      <c r="B11" s="67">
        <v>2100</v>
      </c>
      <c r="C11" s="67">
        <v>2011</v>
      </c>
      <c r="D11" s="67">
        <v>0</v>
      </c>
      <c r="E11" s="67">
        <v>325</v>
      </c>
      <c r="F11" s="67">
        <v>0</v>
      </c>
      <c r="G11" s="67">
        <v>28</v>
      </c>
      <c r="H11" s="67">
        <v>89</v>
      </c>
    </row>
    <row r="12" spans="1:8" s="62" customFormat="1" x14ac:dyDescent="0.35">
      <c r="A12" s="66" t="s">
        <v>42</v>
      </c>
      <c r="B12" s="67">
        <v>1194</v>
      </c>
      <c r="C12" s="67">
        <v>1065</v>
      </c>
      <c r="D12" s="67">
        <v>1</v>
      </c>
      <c r="E12" s="67">
        <v>124</v>
      </c>
      <c r="F12" s="67">
        <v>0</v>
      </c>
      <c r="G12" s="67">
        <v>2</v>
      </c>
      <c r="H12" s="67">
        <v>20</v>
      </c>
    </row>
    <row r="13" spans="1:8" s="62" customFormat="1" x14ac:dyDescent="0.35">
      <c r="A13" s="68" t="s">
        <v>44</v>
      </c>
      <c r="B13" s="67">
        <v>670</v>
      </c>
      <c r="C13" s="67">
        <v>624</v>
      </c>
      <c r="D13" s="67">
        <v>0</v>
      </c>
      <c r="E13" s="67">
        <v>48</v>
      </c>
      <c r="F13" s="67">
        <v>0</v>
      </c>
      <c r="G13" s="67">
        <v>16</v>
      </c>
      <c r="H13" s="67">
        <v>28</v>
      </c>
    </row>
    <row r="14" spans="1:8" s="62" customFormat="1" x14ac:dyDescent="0.35">
      <c r="A14" s="68" t="s">
        <v>45</v>
      </c>
      <c r="B14" s="67">
        <v>439</v>
      </c>
      <c r="C14" s="67">
        <v>407</v>
      </c>
      <c r="D14" s="67">
        <v>0</v>
      </c>
      <c r="E14" s="67">
        <v>2</v>
      </c>
      <c r="F14" s="67">
        <v>0</v>
      </c>
      <c r="G14" s="67">
        <v>33</v>
      </c>
      <c r="H14" s="67">
        <v>9</v>
      </c>
    </row>
    <row r="15" spans="1:8" s="62" customFormat="1" x14ac:dyDescent="0.35">
      <c r="A15" s="68" t="s">
        <v>46</v>
      </c>
      <c r="B15" s="67">
        <v>309</v>
      </c>
      <c r="C15" s="67">
        <v>355</v>
      </c>
      <c r="D15" s="67">
        <v>0</v>
      </c>
      <c r="E15" s="67">
        <v>17</v>
      </c>
      <c r="F15" s="67">
        <v>0</v>
      </c>
      <c r="G15" s="67">
        <v>9</v>
      </c>
      <c r="H15" s="67">
        <v>13</v>
      </c>
    </row>
    <row r="16" spans="1:8" s="62" customFormat="1" x14ac:dyDescent="0.35">
      <c r="A16" s="68" t="s">
        <v>47</v>
      </c>
      <c r="B16" s="67">
        <v>2673</v>
      </c>
      <c r="C16" s="67">
        <v>2543</v>
      </c>
      <c r="D16" s="67">
        <v>4</v>
      </c>
      <c r="E16" s="67">
        <v>478</v>
      </c>
      <c r="F16" s="67">
        <v>0</v>
      </c>
      <c r="G16" s="67">
        <v>32</v>
      </c>
      <c r="H16" s="67">
        <v>54</v>
      </c>
    </row>
    <row r="17" spans="1:11" s="62" customFormat="1" x14ac:dyDescent="0.35">
      <c r="A17" s="68" t="s">
        <v>48</v>
      </c>
      <c r="B17" s="67">
        <v>1764</v>
      </c>
      <c r="C17" s="67">
        <v>1646</v>
      </c>
      <c r="D17" s="67">
        <v>53</v>
      </c>
      <c r="E17" s="67">
        <v>146</v>
      </c>
      <c r="F17" s="67">
        <v>0</v>
      </c>
      <c r="G17" s="67">
        <v>58</v>
      </c>
      <c r="H17" s="67">
        <v>35</v>
      </c>
    </row>
    <row r="18" spans="1:11" s="62" customFormat="1" x14ac:dyDescent="0.35">
      <c r="A18" s="68" t="s">
        <v>49</v>
      </c>
      <c r="B18" s="67">
        <v>2</v>
      </c>
      <c r="C18" s="67">
        <v>0</v>
      </c>
      <c r="D18" s="67">
        <v>0</v>
      </c>
      <c r="E18" s="67">
        <v>0</v>
      </c>
      <c r="F18" s="67">
        <v>0</v>
      </c>
      <c r="G18" s="67">
        <v>0</v>
      </c>
      <c r="H18" s="67">
        <v>0</v>
      </c>
    </row>
    <row r="19" spans="1:11" s="62" customFormat="1" x14ac:dyDescent="0.35">
      <c r="A19" s="68" t="s">
        <v>50</v>
      </c>
      <c r="B19" s="67">
        <v>187</v>
      </c>
      <c r="C19" s="67">
        <v>158</v>
      </c>
      <c r="D19" s="80" t="s">
        <v>190</v>
      </c>
      <c r="E19" s="67">
        <v>20</v>
      </c>
      <c r="F19" s="67">
        <v>0</v>
      </c>
      <c r="G19" s="67">
        <v>6</v>
      </c>
      <c r="H19" s="67">
        <v>6</v>
      </c>
      <c r="K19" s="78" t="s">
        <v>124</v>
      </c>
    </row>
    <row r="20" spans="1:11" s="62" customFormat="1" x14ac:dyDescent="0.35">
      <c r="A20" s="68" t="s">
        <v>51</v>
      </c>
      <c r="B20" s="67">
        <v>719</v>
      </c>
      <c r="C20" s="67">
        <v>604</v>
      </c>
      <c r="D20" s="67">
        <v>6</v>
      </c>
      <c r="E20" s="67">
        <v>125</v>
      </c>
      <c r="F20" s="67">
        <v>0</v>
      </c>
      <c r="G20" s="67">
        <v>19</v>
      </c>
      <c r="H20" s="67">
        <v>16</v>
      </c>
    </row>
    <row r="21" spans="1:11" s="62" customFormat="1" x14ac:dyDescent="0.35">
      <c r="A21" s="68" t="s">
        <v>52</v>
      </c>
      <c r="B21" s="67">
        <v>1297</v>
      </c>
      <c r="C21" s="67">
        <v>1185</v>
      </c>
      <c r="D21" s="67">
        <v>0</v>
      </c>
      <c r="E21" s="67">
        <v>134</v>
      </c>
      <c r="F21" s="67">
        <v>3</v>
      </c>
      <c r="G21" s="67">
        <v>19</v>
      </c>
      <c r="H21" s="67">
        <v>52</v>
      </c>
    </row>
    <row r="22" spans="1:11" s="62" customFormat="1" x14ac:dyDescent="0.35">
      <c r="A22" s="68" t="s">
        <v>53</v>
      </c>
      <c r="B22" s="67">
        <v>1121</v>
      </c>
      <c r="C22" s="67">
        <v>1115</v>
      </c>
      <c r="D22" s="67">
        <v>0</v>
      </c>
      <c r="E22" s="67">
        <v>20</v>
      </c>
      <c r="F22" s="67">
        <v>0</v>
      </c>
      <c r="G22" s="67">
        <v>19</v>
      </c>
      <c r="H22" s="67">
        <v>33</v>
      </c>
    </row>
    <row r="23" spans="1:11" s="62" customFormat="1" x14ac:dyDescent="0.35">
      <c r="A23" s="68" t="s">
        <v>54</v>
      </c>
      <c r="B23" s="67">
        <v>124</v>
      </c>
      <c r="C23" s="67">
        <v>135</v>
      </c>
      <c r="D23" s="67">
        <v>0</v>
      </c>
      <c r="E23" s="67">
        <v>3</v>
      </c>
      <c r="F23" s="67">
        <v>0</v>
      </c>
      <c r="G23" s="67">
        <v>6</v>
      </c>
      <c r="H23" s="67">
        <v>4</v>
      </c>
    </row>
    <row r="24" spans="1:11" s="62" customFormat="1" x14ac:dyDescent="0.35">
      <c r="A24" s="68" t="s">
        <v>55</v>
      </c>
      <c r="B24" s="67">
        <v>617</v>
      </c>
      <c r="C24" s="67">
        <v>611</v>
      </c>
      <c r="D24" s="67">
        <v>0</v>
      </c>
      <c r="E24" s="67">
        <v>2</v>
      </c>
      <c r="F24" s="67">
        <v>0</v>
      </c>
      <c r="G24" s="67">
        <v>9</v>
      </c>
      <c r="H24" s="67">
        <v>19</v>
      </c>
    </row>
    <row r="25" spans="1:11" s="62" customFormat="1" x14ac:dyDescent="0.35">
      <c r="A25" s="68" t="s">
        <v>56</v>
      </c>
      <c r="B25" s="67">
        <v>677</v>
      </c>
      <c r="C25" s="67">
        <v>627</v>
      </c>
      <c r="D25" s="67">
        <v>0</v>
      </c>
      <c r="E25" s="67">
        <v>23</v>
      </c>
      <c r="F25" s="67">
        <v>0</v>
      </c>
      <c r="G25" s="67">
        <v>14</v>
      </c>
      <c r="H25" s="67">
        <v>21</v>
      </c>
    </row>
    <row r="26" spans="1:11" s="62" customFormat="1" x14ac:dyDescent="0.35">
      <c r="A26" s="68" t="s">
        <v>57</v>
      </c>
      <c r="B26" s="67">
        <v>924</v>
      </c>
      <c r="C26" s="67">
        <v>765</v>
      </c>
      <c r="D26" s="67">
        <v>0</v>
      </c>
      <c r="E26" s="67">
        <v>111</v>
      </c>
      <c r="F26" s="67">
        <v>0</v>
      </c>
      <c r="G26" s="67">
        <v>400</v>
      </c>
      <c r="H26" s="67">
        <v>8</v>
      </c>
    </row>
    <row r="27" spans="1:11" s="62" customFormat="1" x14ac:dyDescent="0.35">
      <c r="A27" s="68" t="s">
        <v>58</v>
      </c>
      <c r="B27" s="67">
        <v>698</v>
      </c>
      <c r="C27" s="67">
        <v>733</v>
      </c>
      <c r="D27" s="67">
        <v>0</v>
      </c>
      <c r="E27" s="67">
        <v>5</v>
      </c>
      <c r="F27" s="67">
        <v>0</v>
      </c>
      <c r="G27" s="67">
        <v>16</v>
      </c>
      <c r="H27" s="67">
        <v>37</v>
      </c>
    </row>
    <row r="28" spans="1:11" s="62" customFormat="1" x14ac:dyDescent="0.35">
      <c r="A28" s="68" t="s">
        <v>59</v>
      </c>
      <c r="B28" s="67">
        <v>756</v>
      </c>
      <c r="C28" s="67">
        <v>683</v>
      </c>
      <c r="D28" s="67">
        <v>0</v>
      </c>
      <c r="E28" s="67">
        <v>9</v>
      </c>
      <c r="F28" s="67">
        <v>0</v>
      </c>
      <c r="G28" s="67">
        <v>16</v>
      </c>
      <c r="H28" s="67">
        <v>9</v>
      </c>
    </row>
    <row r="29" spans="1:11" s="62" customFormat="1" x14ac:dyDescent="0.35">
      <c r="A29" s="68" t="s">
        <v>60</v>
      </c>
      <c r="B29" s="67">
        <v>978</v>
      </c>
      <c r="C29" s="67">
        <v>956</v>
      </c>
      <c r="D29" s="67">
        <v>0</v>
      </c>
      <c r="E29" s="67">
        <v>101</v>
      </c>
      <c r="F29" s="67">
        <v>0</v>
      </c>
      <c r="G29" s="67">
        <v>8</v>
      </c>
      <c r="H29" s="67">
        <v>1214</v>
      </c>
    </row>
    <row r="30" spans="1:11" s="62" customFormat="1" x14ac:dyDescent="0.35">
      <c r="A30" s="68" t="s">
        <v>61</v>
      </c>
      <c r="B30" s="67">
        <v>731</v>
      </c>
      <c r="C30" s="67">
        <v>605</v>
      </c>
      <c r="D30" s="67">
        <v>0</v>
      </c>
      <c r="E30" s="67">
        <v>85</v>
      </c>
      <c r="F30" s="67">
        <v>0</v>
      </c>
      <c r="G30" s="67">
        <v>38</v>
      </c>
      <c r="H30" s="67">
        <v>67</v>
      </c>
    </row>
    <row r="31" spans="1:11" s="62" customFormat="1" x14ac:dyDescent="0.35">
      <c r="A31" s="68" t="s">
        <v>62</v>
      </c>
      <c r="B31" s="67">
        <v>1325</v>
      </c>
      <c r="C31" s="67">
        <v>1155</v>
      </c>
      <c r="D31" s="67">
        <v>0</v>
      </c>
      <c r="E31" s="67">
        <v>214</v>
      </c>
      <c r="F31" s="67">
        <v>0</v>
      </c>
      <c r="G31" s="67">
        <v>21</v>
      </c>
      <c r="H31" s="67">
        <v>34</v>
      </c>
    </row>
    <row r="32" spans="1:11" s="62" customFormat="1" x14ac:dyDescent="0.35">
      <c r="A32" s="68" t="s">
        <v>63</v>
      </c>
      <c r="B32" s="67">
        <v>837</v>
      </c>
      <c r="C32" s="67">
        <v>775</v>
      </c>
      <c r="D32" s="67">
        <v>0</v>
      </c>
      <c r="E32" s="67">
        <v>28</v>
      </c>
      <c r="F32" s="67">
        <v>1</v>
      </c>
      <c r="G32" s="67">
        <v>7</v>
      </c>
      <c r="H32" s="67">
        <v>18</v>
      </c>
    </row>
    <row r="33" spans="1:8" s="62" customFormat="1" x14ac:dyDescent="0.35">
      <c r="A33" s="68" t="s">
        <v>64</v>
      </c>
      <c r="B33" s="67">
        <v>581</v>
      </c>
      <c r="C33" s="67">
        <v>450</v>
      </c>
      <c r="D33" s="67">
        <v>0</v>
      </c>
      <c r="E33" s="67">
        <v>60</v>
      </c>
      <c r="F33" s="67">
        <v>0</v>
      </c>
      <c r="G33" s="67">
        <v>389</v>
      </c>
      <c r="H33" s="67">
        <v>10</v>
      </c>
    </row>
    <row r="34" spans="1:8" s="62" customFormat="1" x14ac:dyDescent="0.35">
      <c r="A34" s="68" t="s">
        <v>65</v>
      </c>
      <c r="B34" s="67">
        <v>904</v>
      </c>
      <c r="C34" s="67">
        <v>787</v>
      </c>
      <c r="D34" s="67">
        <v>0</v>
      </c>
      <c r="E34" s="67">
        <v>86</v>
      </c>
      <c r="F34" s="67">
        <v>0</v>
      </c>
      <c r="G34" s="67">
        <v>14</v>
      </c>
      <c r="H34" s="67">
        <v>184</v>
      </c>
    </row>
    <row r="35" spans="1:8" s="62" customFormat="1" x14ac:dyDescent="0.35">
      <c r="A35" s="68" t="s">
        <v>66</v>
      </c>
      <c r="B35" s="67">
        <v>380</v>
      </c>
      <c r="C35" s="67">
        <v>346</v>
      </c>
      <c r="D35" s="67">
        <v>4</v>
      </c>
      <c r="E35" s="67">
        <v>11</v>
      </c>
      <c r="F35" s="67">
        <v>1</v>
      </c>
      <c r="G35" s="67">
        <v>9</v>
      </c>
      <c r="H35" s="67">
        <v>8</v>
      </c>
    </row>
    <row r="36" spans="1:8" s="62" customFormat="1" x14ac:dyDescent="0.35">
      <c r="A36" s="68" t="s">
        <v>67</v>
      </c>
      <c r="B36" s="67">
        <v>446</v>
      </c>
      <c r="C36" s="67">
        <v>425</v>
      </c>
      <c r="D36" s="67">
        <v>0</v>
      </c>
      <c r="E36" s="67">
        <v>35</v>
      </c>
      <c r="F36" s="67">
        <v>0</v>
      </c>
      <c r="G36" s="67">
        <v>14</v>
      </c>
      <c r="H36" s="67">
        <v>10</v>
      </c>
    </row>
    <row r="37" spans="1:8" s="62" customFormat="1" x14ac:dyDescent="0.35">
      <c r="A37" s="68" t="s">
        <v>68</v>
      </c>
      <c r="B37" s="67">
        <v>651</v>
      </c>
      <c r="C37" s="67">
        <v>515</v>
      </c>
      <c r="D37" s="67">
        <v>0</v>
      </c>
      <c r="E37" s="67">
        <v>161</v>
      </c>
      <c r="F37" s="67">
        <v>1</v>
      </c>
      <c r="G37" s="67">
        <v>14</v>
      </c>
      <c r="H37" s="67">
        <v>19</v>
      </c>
    </row>
    <row r="38" spans="1:8" s="62" customFormat="1" x14ac:dyDescent="0.35">
      <c r="A38" s="68" t="s">
        <v>69</v>
      </c>
      <c r="B38" s="67">
        <v>410</v>
      </c>
      <c r="C38" s="67">
        <v>375</v>
      </c>
      <c r="D38" s="67">
        <v>0</v>
      </c>
      <c r="E38" s="67">
        <v>43</v>
      </c>
      <c r="F38" s="67">
        <v>0</v>
      </c>
      <c r="G38" s="67">
        <v>215</v>
      </c>
      <c r="H38" s="67">
        <v>3</v>
      </c>
    </row>
    <row r="39" spans="1:8" s="62" customFormat="1" x14ac:dyDescent="0.35">
      <c r="A39" s="68" t="s">
        <v>70</v>
      </c>
      <c r="B39" s="67">
        <v>927</v>
      </c>
      <c r="C39" s="67">
        <v>1290</v>
      </c>
      <c r="D39" s="67">
        <v>0</v>
      </c>
      <c r="E39" s="67">
        <v>71</v>
      </c>
      <c r="F39" s="67">
        <v>0</v>
      </c>
      <c r="G39" s="67">
        <v>17</v>
      </c>
      <c r="H39" s="67">
        <v>33</v>
      </c>
    </row>
    <row r="40" spans="1:8" s="62" customFormat="1" x14ac:dyDescent="0.35">
      <c r="A40" s="68" t="s">
        <v>71</v>
      </c>
      <c r="B40" s="67">
        <v>463</v>
      </c>
      <c r="C40" s="67">
        <v>426</v>
      </c>
      <c r="D40" s="67">
        <v>0</v>
      </c>
      <c r="E40" s="67">
        <v>13</v>
      </c>
      <c r="F40" s="67">
        <v>0</v>
      </c>
      <c r="G40" s="67">
        <v>5</v>
      </c>
      <c r="H40" s="67">
        <v>16</v>
      </c>
    </row>
    <row r="41" spans="1:8" s="62" customFormat="1" x14ac:dyDescent="0.35">
      <c r="A41" s="68" t="s">
        <v>72</v>
      </c>
      <c r="B41" s="67">
        <v>337</v>
      </c>
      <c r="C41" s="67">
        <v>283</v>
      </c>
      <c r="D41" s="67">
        <v>0</v>
      </c>
      <c r="E41" s="67">
        <v>30</v>
      </c>
      <c r="F41" s="67">
        <v>0</v>
      </c>
      <c r="G41" s="67">
        <v>10</v>
      </c>
      <c r="H41" s="67">
        <v>45</v>
      </c>
    </row>
    <row r="42" spans="1:8" s="62" customFormat="1" x14ac:dyDescent="0.35">
      <c r="A42" s="68" t="s">
        <v>73</v>
      </c>
      <c r="B42" s="67">
        <v>1605</v>
      </c>
      <c r="C42" s="67">
        <v>1403</v>
      </c>
      <c r="D42" s="67">
        <v>0</v>
      </c>
      <c r="E42" s="67">
        <v>173</v>
      </c>
      <c r="F42" s="67">
        <v>0</v>
      </c>
      <c r="G42" s="67">
        <v>34</v>
      </c>
      <c r="H42" s="67">
        <v>70</v>
      </c>
    </row>
    <row r="43" spans="1:8" s="62" customFormat="1" x14ac:dyDescent="0.35">
      <c r="A43" s="68" t="s">
        <v>74</v>
      </c>
      <c r="B43" s="67">
        <v>395</v>
      </c>
      <c r="C43" s="67">
        <v>391</v>
      </c>
      <c r="D43" s="67">
        <v>0</v>
      </c>
      <c r="E43" s="67">
        <v>11</v>
      </c>
      <c r="F43" s="67">
        <v>0</v>
      </c>
      <c r="G43" s="67">
        <v>6</v>
      </c>
      <c r="H43" s="67">
        <v>9</v>
      </c>
    </row>
    <row r="44" spans="1:8" s="62" customFormat="1" x14ac:dyDescent="0.35">
      <c r="A44" s="68" t="s">
        <v>75</v>
      </c>
      <c r="B44" s="67">
        <v>1280</v>
      </c>
      <c r="C44" s="67">
        <v>1158</v>
      </c>
      <c r="D44" s="67">
        <v>0</v>
      </c>
      <c r="E44" s="67">
        <v>65</v>
      </c>
      <c r="F44" s="67">
        <v>0</v>
      </c>
      <c r="G44" s="67">
        <v>21</v>
      </c>
      <c r="H44" s="67">
        <v>45</v>
      </c>
    </row>
    <row r="45" spans="1:8" s="62" customFormat="1" x14ac:dyDescent="0.35">
      <c r="A45" s="68" t="s">
        <v>76</v>
      </c>
      <c r="B45" s="67">
        <v>831</v>
      </c>
      <c r="C45" s="67">
        <v>820</v>
      </c>
      <c r="D45" s="67">
        <v>0</v>
      </c>
      <c r="E45" s="67">
        <v>15</v>
      </c>
      <c r="F45" s="67">
        <v>0</v>
      </c>
      <c r="G45" s="67">
        <v>15</v>
      </c>
      <c r="H45" s="67">
        <v>15</v>
      </c>
    </row>
    <row r="46" spans="1:8" s="62" customFormat="1" x14ac:dyDescent="0.35">
      <c r="A46" s="68" t="s">
        <v>77</v>
      </c>
      <c r="B46" s="67">
        <v>871</v>
      </c>
      <c r="C46" s="67">
        <v>847</v>
      </c>
      <c r="D46" s="67">
        <v>0</v>
      </c>
      <c r="E46" s="67">
        <v>34</v>
      </c>
      <c r="F46" s="67">
        <v>1</v>
      </c>
      <c r="G46" s="67">
        <v>11</v>
      </c>
      <c r="H46" s="67">
        <v>26</v>
      </c>
    </row>
    <row r="47" spans="1:8" s="62" customFormat="1" x14ac:dyDescent="0.35">
      <c r="A47" s="68" t="s">
        <v>78</v>
      </c>
      <c r="B47" s="67">
        <v>1332</v>
      </c>
      <c r="C47" s="67">
        <v>1282</v>
      </c>
      <c r="D47" s="67">
        <v>0</v>
      </c>
      <c r="E47" s="67">
        <v>54</v>
      </c>
      <c r="F47" s="67">
        <v>0</v>
      </c>
      <c r="G47" s="67">
        <v>25</v>
      </c>
      <c r="H47" s="67">
        <v>34</v>
      </c>
    </row>
    <row r="48" spans="1:8" s="62" customFormat="1" x14ac:dyDescent="0.35">
      <c r="A48" s="68" t="s">
        <v>79</v>
      </c>
      <c r="B48" s="67">
        <v>22</v>
      </c>
      <c r="C48" s="67">
        <v>32</v>
      </c>
      <c r="D48" s="67">
        <v>0</v>
      </c>
      <c r="E48" s="67">
        <v>3</v>
      </c>
      <c r="F48" s="67">
        <v>0</v>
      </c>
      <c r="G48" s="67">
        <v>1</v>
      </c>
      <c r="H48" s="67">
        <v>1</v>
      </c>
    </row>
    <row r="49" spans="1:8" s="62" customFormat="1" x14ac:dyDescent="0.35">
      <c r="A49" s="68" t="s">
        <v>80</v>
      </c>
      <c r="B49" s="67">
        <v>264</v>
      </c>
      <c r="C49" s="67">
        <v>261</v>
      </c>
      <c r="D49" s="67">
        <v>0</v>
      </c>
      <c r="E49" s="67">
        <v>3</v>
      </c>
      <c r="F49" s="67">
        <v>0</v>
      </c>
      <c r="G49" s="67">
        <v>10</v>
      </c>
      <c r="H49" s="67">
        <v>13</v>
      </c>
    </row>
    <row r="50" spans="1:8" s="62" customFormat="1" x14ac:dyDescent="0.35">
      <c r="A50" s="68" t="s">
        <v>81</v>
      </c>
      <c r="B50" s="67">
        <v>959</v>
      </c>
      <c r="C50" s="67">
        <v>985</v>
      </c>
      <c r="D50" s="67">
        <v>0</v>
      </c>
      <c r="E50" s="67">
        <v>73</v>
      </c>
      <c r="F50" s="67">
        <v>0</v>
      </c>
      <c r="G50" s="67">
        <v>33</v>
      </c>
      <c r="H50" s="67">
        <v>16</v>
      </c>
    </row>
    <row r="51" spans="1:8" s="62" customFormat="1" x14ac:dyDescent="0.35">
      <c r="A51" s="68" t="s">
        <v>82</v>
      </c>
      <c r="B51" s="67">
        <v>346</v>
      </c>
      <c r="C51" s="67">
        <v>252</v>
      </c>
      <c r="D51" s="67">
        <v>0</v>
      </c>
      <c r="E51" s="67">
        <v>55</v>
      </c>
      <c r="F51" s="67">
        <v>0</v>
      </c>
      <c r="G51" s="67">
        <v>13</v>
      </c>
      <c r="H51" s="67">
        <v>2</v>
      </c>
    </row>
    <row r="52" spans="1:8" s="62" customFormat="1" x14ac:dyDescent="0.35">
      <c r="A52" s="68" t="s">
        <v>83</v>
      </c>
      <c r="B52" s="67">
        <v>437</v>
      </c>
      <c r="C52" s="67">
        <v>421</v>
      </c>
      <c r="D52" s="67">
        <v>0</v>
      </c>
      <c r="E52" s="67">
        <v>17</v>
      </c>
      <c r="F52" s="67">
        <v>0</v>
      </c>
      <c r="G52" s="67">
        <v>5</v>
      </c>
      <c r="H52" s="67">
        <v>12</v>
      </c>
    </row>
    <row r="53" spans="1:8" s="62" customFormat="1" x14ac:dyDescent="0.35">
      <c r="A53" s="68" t="s">
        <v>84</v>
      </c>
      <c r="B53" s="67">
        <v>1333</v>
      </c>
      <c r="C53" s="67">
        <v>1311</v>
      </c>
      <c r="D53" s="67">
        <v>0</v>
      </c>
      <c r="E53" s="67">
        <v>22</v>
      </c>
      <c r="F53" s="67">
        <v>0</v>
      </c>
      <c r="G53" s="67">
        <v>27</v>
      </c>
      <c r="H53" s="67">
        <v>90</v>
      </c>
    </row>
    <row r="54" spans="1:8" s="62" customFormat="1" x14ac:dyDescent="0.35">
      <c r="A54" s="68" t="s">
        <v>85</v>
      </c>
      <c r="B54" s="67">
        <v>45</v>
      </c>
      <c r="C54" s="67">
        <v>40</v>
      </c>
      <c r="D54" s="67">
        <v>0</v>
      </c>
      <c r="E54" s="67">
        <v>9</v>
      </c>
      <c r="F54" s="67">
        <v>0</v>
      </c>
      <c r="G54" s="67">
        <v>0</v>
      </c>
      <c r="H54" s="67">
        <v>2</v>
      </c>
    </row>
    <row r="55" spans="1:8" s="62" customFormat="1" x14ac:dyDescent="0.35">
      <c r="A55" s="68" t="s">
        <v>86</v>
      </c>
      <c r="B55" s="67">
        <v>2308</v>
      </c>
      <c r="C55" s="67">
        <v>2061</v>
      </c>
      <c r="D55" s="67">
        <v>3</v>
      </c>
      <c r="E55" s="67">
        <v>326</v>
      </c>
      <c r="F55" s="67">
        <v>1</v>
      </c>
      <c r="G55" s="67">
        <v>43</v>
      </c>
      <c r="H55" s="67">
        <v>54</v>
      </c>
    </row>
    <row r="56" spans="1:8" s="62" customFormat="1" x14ac:dyDescent="0.35">
      <c r="A56" s="68" t="s">
        <v>87</v>
      </c>
      <c r="B56" s="67">
        <v>18</v>
      </c>
      <c r="C56" s="67">
        <v>5</v>
      </c>
      <c r="D56" s="67">
        <v>0</v>
      </c>
      <c r="E56" s="67">
        <v>19</v>
      </c>
      <c r="F56" s="67">
        <v>0</v>
      </c>
      <c r="G56" s="67">
        <v>0</v>
      </c>
      <c r="H56" s="67">
        <v>1</v>
      </c>
    </row>
    <row r="57" spans="1:8" s="62" customFormat="1" x14ac:dyDescent="0.35">
      <c r="A57" s="68" t="s">
        <v>88</v>
      </c>
      <c r="B57" s="67">
        <v>374</v>
      </c>
      <c r="C57" s="67">
        <v>338</v>
      </c>
      <c r="D57" s="67">
        <v>0</v>
      </c>
      <c r="E57" s="67">
        <v>23</v>
      </c>
      <c r="F57" s="67">
        <v>0</v>
      </c>
      <c r="G57" s="67">
        <v>8</v>
      </c>
      <c r="H57" s="67">
        <v>11</v>
      </c>
    </row>
    <row r="58" spans="1:8" s="62" customFormat="1" x14ac:dyDescent="0.35">
      <c r="A58" s="68" t="s">
        <v>89</v>
      </c>
      <c r="B58" s="67">
        <v>258</v>
      </c>
      <c r="C58" s="67">
        <v>238</v>
      </c>
      <c r="D58" s="67">
        <v>0</v>
      </c>
      <c r="E58" s="67">
        <v>4</v>
      </c>
      <c r="F58" s="67">
        <v>0</v>
      </c>
      <c r="G58" s="67">
        <v>6</v>
      </c>
      <c r="H58" s="67">
        <v>5</v>
      </c>
    </row>
    <row r="59" spans="1:8" s="62" customFormat="1" x14ac:dyDescent="0.35">
      <c r="A59" s="68" t="s">
        <v>90</v>
      </c>
      <c r="B59" s="67">
        <v>7</v>
      </c>
      <c r="C59" s="67">
        <v>3</v>
      </c>
      <c r="D59" s="67">
        <v>0</v>
      </c>
      <c r="E59" s="67">
        <v>0</v>
      </c>
      <c r="F59" s="67">
        <v>0</v>
      </c>
      <c r="G59" s="67">
        <v>1</v>
      </c>
      <c r="H59" s="67">
        <v>0</v>
      </c>
    </row>
    <row r="60" spans="1:8" s="62" customFormat="1" x14ac:dyDescent="0.35">
      <c r="A60" s="68" t="s">
        <v>91</v>
      </c>
      <c r="B60" s="67">
        <v>1424</v>
      </c>
      <c r="C60" s="67">
        <v>1280</v>
      </c>
      <c r="D60" s="67">
        <v>0</v>
      </c>
      <c r="E60" s="67">
        <v>133</v>
      </c>
      <c r="F60" s="67">
        <v>0</v>
      </c>
      <c r="G60" s="67">
        <v>28</v>
      </c>
      <c r="H60" s="67">
        <v>40</v>
      </c>
    </row>
    <row r="61" spans="1:8" s="62" customFormat="1" x14ac:dyDescent="0.35">
      <c r="A61" s="68" t="s">
        <v>92</v>
      </c>
      <c r="B61" s="67">
        <v>1158</v>
      </c>
      <c r="C61" s="67">
        <v>1168</v>
      </c>
      <c r="D61" s="67">
        <v>0</v>
      </c>
      <c r="E61" s="67">
        <v>56</v>
      </c>
      <c r="F61" s="67">
        <v>1</v>
      </c>
      <c r="G61" s="67">
        <v>16</v>
      </c>
      <c r="H61" s="67">
        <v>48</v>
      </c>
    </row>
    <row r="62" spans="1:8" s="62" customFormat="1" x14ac:dyDescent="0.35">
      <c r="A62" s="68" t="s">
        <v>93</v>
      </c>
      <c r="B62" s="67">
        <v>345</v>
      </c>
      <c r="C62" s="67">
        <v>317</v>
      </c>
      <c r="D62" s="67">
        <v>0</v>
      </c>
      <c r="E62" s="67">
        <v>36</v>
      </c>
      <c r="F62" s="67">
        <v>0</v>
      </c>
      <c r="G62" s="67">
        <v>6</v>
      </c>
      <c r="H62" s="67">
        <v>7</v>
      </c>
    </row>
    <row r="63" spans="1:8" s="62" customFormat="1" x14ac:dyDescent="0.35">
      <c r="A63" s="68" t="s">
        <v>94</v>
      </c>
      <c r="B63" s="67">
        <v>690</v>
      </c>
      <c r="C63" s="67">
        <v>640</v>
      </c>
      <c r="D63" s="67">
        <v>1</v>
      </c>
      <c r="E63" s="67">
        <v>67</v>
      </c>
      <c r="F63" s="67">
        <v>0</v>
      </c>
      <c r="G63" s="67">
        <v>11</v>
      </c>
      <c r="H63" s="67">
        <v>29</v>
      </c>
    </row>
    <row r="64" spans="1:8" s="62" customFormat="1" x14ac:dyDescent="0.35">
      <c r="A64" s="68" t="s">
        <v>95</v>
      </c>
      <c r="B64" s="67">
        <v>362</v>
      </c>
      <c r="C64" s="67">
        <v>356</v>
      </c>
      <c r="D64" s="67">
        <v>5</v>
      </c>
      <c r="E64" s="67">
        <v>5</v>
      </c>
      <c r="F64" s="67">
        <v>0</v>
      </c>
      <c r="G64" s="67">
        <v>7</v>
      </c>
      <c r="H64" s="67">
        <v>10</v>
      </c>
    </row>
    <row r="65" spans="1:9" s="62" customFormat="1" ht="19" thickBot="1" x14ac:dyDescent="0.4">
      <c r="A65" s="46" t="s">
        <v>114</v>
      </c>
      <c r="B65" s="70">
        <v>45917</v>
      </c>
      <c r="C65" s="70">
        <v>43079</v>
      </c>
      <c r="D65" s="70">
        <v>89</v>
      </c>
      <c r="E65" s="70">
        <v>4001</v>
      </c>
      <c r="F65" s="70">
        <v>10</v>
      </c>
      <c r="G65" s="70">
        <v>1863</v>
      </c>
      <c r="H65" s="79">
        <v>2750</v>
      </c>
    </row>
    <row r="66" spans="1:9" s="62" customFormat="1" x14ac:dyDescent="0.35">
      <c r="A66" s="72"/>
    </row>
    <row r="67" spans="1:9" s="62" customFormat="1" x14ac:dyDescent="0.35">
      <c r="A67" s="72" t="s">
        <v>98</v>
      </c>
    </row>
    <row r="68" spans="1:9" s="62" customFormat="1" x14ac:dyDescent="0.35">
      <c r="A68" s="73" t="s">
        <v>125</v>
      </c>
    </row>
    <row r="69" spans="1:9" s="62" customFormat="1" x14ac:dyDescent="0.35">
      <c r="A69" s="143"/>
      <c r="B69" s="143"/>
      <c r="C69" s="143"/>
      <c r="D69" s="143"/>
      <c r="E69" s="143"/>
      <c r="F69" s="143"/>
      <c r="G69" s="143"/>
      <c r="H69" s="143"/>
      <c r="I69" s="74"/>
    </row>
    <row r="70" spans="1:9" s="62" customFormat="1" x14ac:dyDescent="0.35">
      <c r="A70" s="22"/>
    </row>
    <row r="71" spans="1:9" s="62" customFormat="1" x14ac:dyDescent="0.35">
      <c r="A71" s="72" t="s">
        <v>117</v>
      </c>
    </row>
    <row r="72" spans="1:9" s="62" customFormat="1" ht="29.25" customHeight="1" x14ac:dyDescent="0.35">
      <c r="A72" s="138" t="s">
        <v>118</v>
      </c>
      <c r="B72" s="138"/>
      <c r="C72" s="138"/>
      <c r="D72" s="138"/>
      <c r="E72" s="138"/>
      <c r="F72" s="138"/>
      <c r="G72" s="138"/>
      <c r="H72" s="138"/>
    </row>
    <row r="73" spans="1:9" s="62" customFormat="1" ht="26.25" customHeight="1" x14ac:dyDescent="0.35">
      <c r="A73" s="138" t="s">
        <v>126</v>
      </c>
      <c r="B73" s="138"/>
      <c r="C73" s="138"/>
      <c r="D73" s="138"/>
      <c r="E73" s="138"/>
      <c r="F73" s="138"/>
      <c r="G73" s="138"/>
      <c r="H73" s="138"/>
    </row>
    <row r="74" spans="1:9" s="62" customFormat="1" ht="27.75" customHeight="1" x14ac:dyDescent="0.35">
      <c r="A74" s="138" t="s">
        <v>127</v>
      </c>
      <c r="B74" s="138"/>
      <c r="C74" s="138"/>
      <c r="D74" s="138"/>
      <c r="E74" s="138"/>
      <c r="F74" s="138"/>
      <c r="G74" s="138"/>
      <c r="H74" s="138"/>
    </row>
    <row r="75" spans="1:9" s="62" customFormat="1" ht="41.25" customHeight="1" x14ac:dyDescent="0.35">
      <c r="A75" s="138" t="s">
        <v>128</v>
      </c>
      <c r="B75" s="138"/>
      <c r="C75" s="138"/>
      <c r="D75" s="138"/>
      <c r="E75" s="138"/>
      <c r="F75" s="138"/>
      <c r="G75" s="138"/>
      <c r="H75" s="138"/>
    </row>
    <row r="76" spans="1:9" s="62" customFormat="1" x14ac:dyDescent="0.35">
      <c r="A76" s="22" t="s">
        <v>122</v>
      </c>
    </row>
    <row r="77" spans="1:9" s="62" customFormat="1" x14ac:dyDescent="0.35">
      <c r="A77" s="22" t="s">
        <v>123</v>
      </c>
    </row>
  </sheetData>
  <mergeCells count="8">
    <mergeCell ref="A73:H73"/>
    <mergeCell ref="A74:H74"/>
    <mergeCell ref="A75:H75"/>
    <mergeCell ref="B3:B4"/>
    <mergeCell ref="C3:E4"/>
    <mergeCell ref="F3:H4"/>
    <mergeCell ref="A69:H69"/>
    <mergeCell ref="A72:H72"/>
  </mergeCells>
  <pageMargins left="0.7" right="0.7" top="0.75" bottom="0.75" header="0.3" footer="0.3"/>
  <pageSetup orientation="portrait"/>
  <headerFooter>
    <oddHeader>&amp;C&amp;"Calibri"&amp;10&amp;K000000 Internal Use Only&amp;1#_x000D_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47"/>
  <sheetViews>
    <sheetView zoomScale="150" zoomScaleNormal="150" workbookViewId="0"/>
  </sheetViews>
  <sheetFormatPr defaultColWidth="9.1796875" defaultRowHeight="12.5" x14ac:dyDescent="0.25"/>
  <cols>
    <col min="1" max="1" width="9.7265625" style="81" customWidth="1"/>
    <col min="2" max="2" width="8.81640625" style="81" bestFit="1" customWidth="1"/>
    <col min="3" max="3" width="13.26953125" style="81" hidden="1" customWidth="1"/>
    <col min="4" max="4" width="14.54296875" style="81" bestFit="1" customWidth="1"/>
    <col min="5" max="5" width="14" style="81" customWidth="1"/>
    <col min="6" max="6" width="20" style="81" customWidth="1"/>
    <col min="7" max="10" width="9.1796875" style="81"/>
    <col min="11" max="11" width="17.54296875" style="81" customWidth="1"/>
    <col min="12" max="12" width="16.453125" style="81" bestFit="1" customWidth="1"/>
    <col min="13" max="16384" width="9.1796875" style="81"/>
  </cols>
  <sheetData>
    <row r="1" spans="1:15" ht="17.5" x14ac:dyDescent="0.35">
      <c r="A1" s="8" t="s">
        <v>129</v>
      </c>
      <c r="L1" s="83"/>
    </row>
    <row r="2" spans="1:15" ht="14.5" x14ac:dyDescent="0.35">
      <c r="L2" s="84"/>
    </row>
    <row r="3" spans="1:15" x14ac:dyDescent="0.25">
      <c r="A3" s="88" t="s">
        <v>130</v>
      </c>
      <c r="B3" s="88" t="s">
        <v>131</v>
      </c>
      <c r="C3" s="88" t="s">
        <v>132</v>
      </c>
      <c r="D3" s="88" t="s">
        <v>133</v>
      </c>
      <c r="E3" s="88" t="s">
        <v>134</v>
      </c>
      <c r="F3" s="88" t="s">
        <v>135</v>
      </c>
    </row>
    <row r="4" spans="1:15" ht="14.5" x14ac:dyDescent="0.35">
      <c r="A4" s="87" t="str">
        <f>LEFT(Table2[[#This Row],[Filing Quarter]],4)</f>
        <v>2020</v>
      </c>
      <c r="B4" s="87" t="str">
        <f>RIGHT(Table2[[#This Row],[Filing Quarter]],2)</f>
        <v>Q1</v>
      </c>
      <c r="C4" s="113" t="s">
        <v>136</v>
      </c>
      <c r="D4" s="87">
        <v>151038464715</v>
      </c>
      <c r="E4" s="87">
        <v>249883355055</v>
      </c>
      <c r="F4" s="87">
        <v>7769524822</v>
      </c>
      <c r="H4"/>
      <c r="I4"/>
      <c r="J4"/>
      <c r="K4"/>
      <c r="L4"/>
      <c r="M4"/>
      <c r="N4"/>
      <c r="O4"/>
    </row>
    <row r="5" spans="1:15" ht="14.5" x14ac:dyDescent="0.35">
      <c r="A5" s="87" t="str">
        <f>LEFT(Table2[[#This Row],[Filing Quarter]],4)</f>
        <v>2020</v>
      </c>
      <c r="B5" s="87" t="str">
        <f>RIGHT(Table2[[#This Row],[Filing Quarter]],2)</f>
        <v>Q2</v>
      </c>
      <c r="C5" s="113" t="s">
        <v>137</v>
      </c>
      <c r="D5" s="87">
        <v>185834970238</v>
      </c>
      <c r="E5" s="87">
        <v>397699561291</v>
      </c>
      <c r="F5" s="87">
        <v>12119142715</v>
      </c>
      <c r="H5"/>
      <c r="I5"/>
      <c r="J5"/>
      <c r="K5"/>
      <c r="L5"/>
      <c r="M5"/>
      <c r="N5"/>
      <c r="O5"/>
    </row>
    <row r="6" spans="1:15" ht="14.5" x14ac:dyDescent="0.35">
      <c r="A6" s="87" t="str">
        <f>LEFT(Table2[[#This Row],[Filing Quarter]],4)</f>
        <v>2020</v>
      </c>
      <c r="B6" s="87" t="str">
        <f>RIGHT(Table2[[#This Row],[Filing Quarter]],2)</f>
        <v>Q3</v>
      </c>
      <c r="C6" s="113" t="s">
        <v>138</v>
      </c>
      <c r="D6" s="87">
        <v>271545152908</v>
      </c>
      <c r="E6" s="87">
        <v>476415225210</v>
      </c>
      <c r="F6" s="87">
        <v>12915024509</v>
      </c>
      <c r="H6"/>
      <c r="I6"/>
      <c r="J6"/>
      <c r="K6"/>
      <c r="L6"/>
      <c r="M6"/>
      <c r="N6"/>
      <c r="O6"/>
    </row>
    <row r="7" spans="1:15" ht="14.5" x14ac:dyDescent="0.35">
      <c r="A7" s="87" t="str">
        <f>LEFT(Table2[[#This Row],[Filing Quarter]],4)</f>
        <v>2020</v>
      </c>
      <c r="B7" s="87" t="str">
        <f>RIGHT(Table2[[#This Row],[Filing Quarter]],2)</f>
        <v>Q4</v>
      </c>
      <c r="C7" s="113" t="s">
        <v>139</v>
      </c>
      <c r="D7" s="87">
        <v>260716086828</v>
      </c>
      <c r="E7" s="87">
        <v>553230462737</v>
      </c>
      <c r="F7" s="87">
        <v>16736792161</v>
      </c>
      <c r="H7"/>
      <c r="I7"/>
      <c r="J7"/>
      <c r="K7"/>
      <c r="L7"/>
      <c r="M7"/>
      <c r="N7"/>
      <c r="O7"/>
    </row>
    <row r="8" spans="1:15" ht="14.5" x14ac:dyDescent="0.35">
      <c r="A8" s="87" t="str">
        <f>LEFT(Table2[[#This Row],[Filing Quarter]],4)</f>
        <v>2021</v>
      </c>
      <c r="B8" s="87" t="str">
        <f>RIGHT(Table2[[#This Row],[Filing Quarter]],2)</f>
        <v>Q1</v>
      </c>
      <c r="C8" s="113" t="s">
        <v>140</v>
      </c>
      <c r="D8" s="87">
        <v>314601426960</v>
      </c>
      <c r="E8" s="87">
        <v>411286136949</v>
      </c>
      <c r="F8" s="87">
        <v>17517458279</v>
      </c>
      <c r="H8"/>
      <c r="I8"/>
      <c r="J8"/>
      <c r="K8"/>
      <c r="L8"/>
      <c r="M8"/>
      <c r="N8"/>
      <c r="O8"/>
    </row>
    <row r="9" spans="1:15" ht="14.5" x14ac:dyDescent="0.35">
      <c r="A9" s="87" t="str">
        <f>LEFT(Table2[[#This Row],[Filing Quarter]],4)</f>
        <v>2021</v>
      </c>
      <c r="B9" s="87" t="str">
        <f>RIGHT(Table2[[#This Row],[Filing Quarter]],2)</f>
        <v>Q2</v>
      </c>
      <c r="C9" s="113" t="s">
        <v>141</v>
      </c>
      <c r="D9" s="87">
        <v>219373193417</v>
      </c>
      <c r="E9" s="87">
        <v>563437539008</v>
      </c>
      <c r="F9" s="87">
        <v>18406907072</v>
      </c>
      <c r="H9"/>
      <c r="I9"/>
      <c r="J9"/>
      <c r="K9"/>
      <c r="L9"/>
      <c r="M9"/>
      <c r="N9"/>
      <c r="O9"/>
    </row>
    <row r="10" spans="1:15" ht="14.5" x14ac:dyDescent="0.35">
      <c r="A10" s="87" t="str">
        <f>LEFT(Table2[[#This Row],[Filing Quarter]],4)</f>
        <v>2021</v>
      </c>
      <c r="B10" s="87" t="str">
        <f>RIGHT(Table2[[#This Row],[Filing Quarter]],2)</f>
        <v>Q3</v>
      </c>
      <c r="C10" s="113" t="s">
        <v>142</v>
      </c>
      <c r="D10" s="87">
        <v>316072147908</v>
      </c>
      <c r="E10" s="87">
        <v>361986896762</v>
      </c>
      <c r="F10" s="87">
        <v>21478380391</v>
      </c>
      <c r="H10"/>
      <c r="I10"/>
      <c r="J10"/>
      <c r="K10"/>
      <c r="L10"/>
      <c r="M10"/>
      <c r="N10"/>
      <c r="O10"/>
    </row>
    <row r="11" spans="1:15" ht="14.5" x14ac:dyDescent="0.35">
      <c r="A11" s="87" t="str">
        <f>LEFT(Table2[[#This Row],[Filing Quarter]],4)</f>
        <v>2021</v>
      </c>
      <c r="B11" s="87" t="str">
        <f>RIGHT(Table2[[#This Row],[Filing Quarter]],2)</f>
        <v>Q4</v>
      </c>
      <c r="C11" s="113" t="s">
        <v>143</v>
      </c>
      <c r="D11" s="87">
        <v>297591856977</v>
      </c>
      <c r="E11" s="87">
        <v>305425162536</v>
      </c>
      <c r="F11" s="87">
        <v>23246609398</v>
      </c>
      <c r="H11"/>
      <c r="I11"/>
      <c r="J11"/>
      <c r="K11"/>
      <c r="L11"/>
      <c r="M11"/>
      <c r="N11"/>
      <c r="O11"/>
    </row>
    <row r="12" spans="1:15" ht="14.5" x14ac:dyDescent="0.35">
      <c r="A12" s="87" t="str">
        <f>LEFT(Table2[[#This Row],[Filing Quarter]],4)</f>
        <v>2022</v>
      </c>
      <c r="B12" s="87" t="str">
        <f>RIGHT(Table2[[#This Row],[Filing Quarter]],2)</f>
        <v>Q1</v>
      </c>
      <c r="C12" s="113" t="s">
        <v>144</v>
      </c>
      <c r="D12" s="87">
        <v>178586652287</v>
      </c>
      <c r="E12" s="87">
        <v>34579557665</v>
      </c>
      <c r="F12" s="87">
        <v>2869607917</v>
      </c>
      <c r="H12"/>
      <c r="I12"/>
      <c r="J12"/>
      <c r="K12"/>
      <c r="L12"/>
      <c r="M12"/>
      <c r="N12"/>
      <c r="O12"/>
    </row>
    <row r="13" spans="1:15" ht="14.5" x14ac:dyDescent="0.35">
      <c r="A13" s="87" t="str">
        <f>LEFT(Table2[[#This Row],[Filing Quarter]],4)</f>
        <v>2022</v>
      </c>
      <c r="B13" s="87" t="str">
        <f>RIGHT(Table2[[#This Row],[Filing Quarter]],2)</f>
        <v>Q2</v>
      </c>
      <c r="C13" s="113" t="s">
        <v>145</v>
      </c>
      <c r="D13" s="87">
        <v>245947072001</v>
      </c>
      <c r="E13" s="87">
        <v>65135010453</v>
      </c>
      <c r="F13" s="87">
        <v>5355093804</v>
      </c>
      <c r="H13"/>
      <c r="I13"/>
      <c r="J13"/>
      <c r="K13"/>
      <c r="L13"/>
      <c r="M13"/>
      <c r="N13"/>
      <c r="O13"/>
    </row>
    <row r="14" spans="1:15" ht="14.5" x14ac:dyDescent="0.35">
      <c r="A14" s="87" t="str">
        <f>LEFT(Table2[[#This Row],[Filing Quarter]],4)</f>
        <v>2022</v>
      </c>
      <c r="B14" s="87" t="str">
        <f>RIGHT(Table2[[#This Row],[Filing Quarter]],2)</f>
        <v>Q3</v>
      </c>
      <c r="C14" s="113" t="s">
        <v>146</v>
      </c>
      <c r="D14" s="87">
        <v>287118683822</v>
      </c>
      <c r="E14" s="87">
        <v>103929411317</v>
      </c>
      <c r="F14" s="87">
        <v>8701137353</v>
      </c>
      <c r="H14"/>
      <c r="I14"/>
      <c r="J14"/>
      <c r="K14"/>
      <c r="L14"/>
      <c r="M14"/>
      <c r="N14"/>
      <c r="O14"/>
    </row>
    <row r="15" spans="1:15" ht="14.5" x14ac:dyDescent="0.35">
      <c r="A15" s="87" t="str">
        <f>LEFT(Table2[[#This Row],[Filing Quarter]],4)</f>
        <v>2022</v>
      </c>
      <c r="B15" s="87" t="str">
        <f>RIGHT(Table2[[#This Row],[Filing Quarter]],2)</f>
        <v>Q4</v>
      </c>
      <c r="C15" s="113" t="s">
        <v>147</v>
      </c>
      <c r="D15" s="87">
        <v>238982072166</v>
      </c>
      <c r="E15" s="87">
        <v>202969088691</v>
      </c>
      <c r="F15" s="87">
        <v>15859884616</v>
      </c>
      <c r="H15"/>
      <c r="I15"/>
      <c r="J15"/>
      <c r="K15"/>
      <c r="L15"/>
      <c r="M15"/>
      <c r="N15"/>
      <c r="O15"/>
    </row>
    <row r="16" spans="1:15" ht="14.5" x14ac:dyDescent="0.35">
      <c r="A16" s="87" t="str">
        <f>LEFT(Table2[[#This Row],[Filing Quarter]],4)</f>
        <v>2023</v>
      </c>
      <c r="B16" s="87" t="str">
        <f>RIGHT(Table2[[#This Row],[Filing Quarter]],2)</f>
        <v>Q1</v>
      </c>
      <c r="C16" s="113" t="s">
        <v>148</v>
      </c>
      <c r="D16" s="87">
        <v>171261329784</v>
      </c>
      <c r="E16" s="87">
        <v>29609230651</v>
      </c>
      <c r="F16" s="87">
        <v>2527618723</v>
      </c>
      <c r="H16"/>
      <c r="I16"/>
      <c r="J16"/>
      <c r="K16"/>
      <c r="L16"/>
      <c r="M16"/>
      <c r="N16"/>
      <c r="O16"/>
    </row>
    <row r="17" spans="1:15" ht="14.5" x14ac:dyDescent="0.35">
      <c r="A17" s="87" t="str">
        <f>LEFT(Table2[[#This Row],[Filing Quarter]],4)</f>
        <v>2023</v>
      </c>
      <c r="B17" s="87" t="str">
        <f>RIGHT(Table2[[#This Row],[Filing Quarter]],2)</f>
        <v>Q2</v>
      </c>
      <c r="C17" s="113" t="s">
        <v>149</v>
      </c>
      <c r="D17" s="87">
        <v>172619881784</v>
      </c>
      <c r="E17" s="87">
        <v>29756524062</v>
      </c>
      <c r="F17" s="87">
        <v>2528229390</v>
      </c>
      <c r="H17"/>
      <c r="I17"/>
      <c r="J17"/>
      <c r="K17"/>
      <c r="L17"/>
      <c r="M17"/>
      <c r="N17"/>
      <c r="O17"/>
    </row>
    <row r="18" spans="1:15" ht="14.5" x14ac:dyDescent="0.35">
      <c r="A18" s="87" t="str">
        <f>LEFT(Table2[[#This Row],[Filing Quarter]],4)</f>
        <v>2023</v>
      </c>
      <c r="B18" s="87" t="str">
        <f>RIGHT(Table2[[#This Row],[Filing Quarter]],2)</f>
        <v>Q3</v>
      </c>
      <c r="C18" s="113" t="s">
        <v>150</v>
      </c>
      <c r="D18" s="87">
        <v>215129508641</v>
      </c>
      <c r="E18" s="87">
        <v>34358116852</v>
      </c>
      <c r="F18" s="87">
        <v>3088014831</v>
      </c>
      <c r="H18"/>
      <c r="I18"/>
      <c r="J18"/>
      <c r="K18"/>
      <c r="L18"/>
      <c r="M18"/>
      <c r="N18"/>
      <c r="O18"/>
    </row>
    <row r="19" spans="1:15" ht="14.5" x14ac:dyDescent="0.35">
      <c r="A19" s="87" t="str">
        <f>LEFT(Table2[[#This Row],[Filing Quarter]],4)</f>
        <v>2023</v>
      </c>
      <c r="B19" s="87" t="str">
        <f>RIGHT(Table2[[#This Row],[Filing Quarter]],2)</f>
        <v>Q4</v>
      </c>
      <c r="C19" s="113" t="s">
        <v>151</v>
      </c>
      <c r="D19" s="87">
        <v>202773868736</v>
      </c>
      <c r="E19" s="87">
        <v>34204235790</v>
      </c>
      <c r="F19" s="87">
        <v>3259997870</v>
      </c>
      <c r="H19"/>
      <c r="I19"/>
      <c r="J19"/>
      <c r="K19"/>
      <c r="L19"/>
      <c r="M19"/>
      <c r="N19"/>
      <c r="O19"/>
    </row>
    <row r="20" spans="1:15" ht="14.5" x14ac:dyDescent="0.35">
      <c r="A20" s="87" t="str">
        <f>LEFT(Table2[[#This Row],[Filing Quarter]],4)</f>
        <v>2024</v>
      </c>
      <c r="B20" s="87" t="str">
        <f>RIGHT(Table2[[#This Row],[Filing Quarter]],2)</f>
        <v>Q1</v>
      </c>
      <c r="C20" s="113" t="s">
        <v>152</v>
      </c>
      <c r="D20" s="87">
        <v>162861201385</v>
      </c>
      <c r="E20" s="87">
        <v>41162364461</v>
      </c>
      <c r="F20" s="87">
        <v>2637222971</v>
      </c>
      <c r="H20"/>
      <c r="I20"/>
      <c r="J20"/>
      <c r="K20"/>
      <c r="L20"/>
      <c r="M20"/>
      <c r="N20"/>
      <c r="O20"/>
    </row>
    <row r="21" spans="1:15" ht="14.5" x14ac:dyDescent="0.35">
      <c r="A21" s="87" t="str">
        <f>LEFT(Table2[[#This Row],[Filing Quarter]],4)</f>
        <v>2024</v>
      </c>
      <c r="B21" s="87" t="str">
        <f>RIGHT(Table2[[#This Row],[Filing Quarter]],2)</f>
        <v>Q2</v>
      </c>
      <c r="C21" s="113" t="s">
        <v>153</v>
      </c>
      <c r="D21" s="87">
        <v>224282559040</v>
      </c>
      <c r="E21" s="87">
        <v>43564035276</v>
      </c>
      <c r="F21" s="87">
        <v>3013256143</v>
      </c>
      <c r="H21"/>
      <c r="I21"/>
      <c r="J21"/>
      <c r="K21"/>
      <c r="L21"/>
      <c r="M21"/>
      <c r="N21"/>
      <c r="O21"/>
    </row>
    <row r="22" spans="1:15" ht="14.5" x14ac:dyDescent="0.35">
      <c r="A22" s="87" t="str">
        <f>LEFT(Table2[[#This Row],[Filing Quarter]],4)</f>
        <v>2024</v>
      </c>
      <c r="B22" s="87" t="str">
        <f>RIGHT(Table2[[#This Row],[Filing Quarter]],2)</f>
        <v>Q3</v>
      </c>
      <c r="C22" s="113" t="s">
        <v>154</v>
      </c>
      <c r="D22" s="87">
        <v>219002084380</v>
      </c>
      <c r="E22" s="87">
        <v>69424184764</v>
      </c>
      <c r="F22" s="87">
        <v>3549827465</v>
      </c>
      <c r="H22"/>
      <c r="I22"/>
      <c r="J22"/>
      <c r="K22"/>
      <c r="L22"/>
      <c r="M22"/>
      <c r="N22"/>
      <c r="O22"/>
    </row>
    <row r="23" spans="1:15" ht="14.5" x14ac:dyDescent="0.35">
      <c r="A23" s="87" t="str">
        <f>LEFT(Table2[[#This Row],[Filing Quarter]],4)</f>
        <v>2024</v>
      </c>
      <c r="B23" s="87" t="str">
        <f>RIGHT(Table2[[#This Row],[Filing Quarter]],2)</f>
        <v>Q4</v>
      </c>
      <c r="C23" s="113" t="s">
        <v>177</v>
      </c>
      <c r="D23" s="87">
        <v>206290498684</v>
      </c>
      <c r="E23" s="87">
        <v>90712268583</v>
      </c>
      <c r="F23" s="87">
        <v>3948206618</v>
      </c>
      <c r="H23"/>
      <c r="I23"/>
      <c r="J23"/>
      <c r="K23"/>
      <c r="L23"/>
      <c r="M23"/>
      <c r="N23"/>
      <c r="O23"/>
    </row>
    <row r="24" spans="1:15" hidden="1" x14ac:dyDescent="0.25">
      <c r="A24" s="87" t="str">
        <f>LEFT(Table2[[#This Row],[Filing Quarter]],4)</f>
        <v>2025</v>
      </c>
      <c r="B24" s="87" t="str">
        <f>RIGHT(Table2[[#This Row],[Filing Quarter]],2)</f>
        <v>Q1</v>
      </c>
      <c r="C24" s="126" t="s">
        <v>181</v>
      </c>
      <c r="D24" s="87">
        <v>165988511143</v>
      </c>
      <c r="E24" s="87">
        <v>59555268855</v>
      </c>
      <c r="F24" s="87">
        <v>3560950241</v>
      </c>
    </row>
    <row r="25" spans="1:15" hidden="1" x14ac:dyDescent="0.25">
      <c r="A25" s="87" t="str">
        <f>LEFT(Table2[[#This Row],[Filing Quarter]],4)</f>
        <v/>
      </c>
      <c r="B25" s="87" t="str">
        <f>RIGHT(Table2[[#This Row],[Filing Quarter]],2)</f>
        <v/>
      </c>
      <c r="C25" s="126"/>
      <c r="D25" s="87"/>
      <c r="E25" s="87"/>
      <c r="F25" s="87"/>
    </row>
    <row r="26" spans="1:15" x14ac:dyDescent="0.25">
      <c r="A26" s="87" t="str">
        <f>LEFT(Table2[[#This Row],[Filing Quarter]],4)</f>
        <v>2025</v>
      </c>
      <c r="B26" s="87" t="str">
        <f>RIGHT(Table2[[#This Row],[Filing Quarter]],2)</f>
        <v>Q1</v>
      </c>
      <c r="C26" s="127" t="s">
        <v>181</v>
      </c>
      <c r="D26" s="87">
        <v>165988511143</v>
      </c>
      <c r="E26" s="87">
        <v>59555268855</v>
      </c>
      <c r="F26" s="87">
        <v>3560950241</v>
      </c>
    </row>
    <row r="27" spans="1:15" x14ac:dyDescent="0.25">
      <c r="C27" s="85"/>
      <c r="D27" s="86"/>
      <c r="E27" s="86"/>
      <c r="F27" s="86"/>
    </row>
    <row r="28" spans="1:15" x14ac:dyDescent="0.25">
      <c r="C28" s="85"/>
      <c r="D28" s="86"/>
      <c r="E28" s="86"/>
      <c r="F28" s="86"/>
    </row>
    <row r="29" spans="1:15" x14ac:dyDescent="0.25">
      <c r="C29" s="85"/>
      <c r="D29" s="86"/>
      <c r="E29" s="86"/>
      <c r="F29" s="86"/>
    </row>
    <row r="30" spans="1:15" x14ac:dyDescent="0.25">
      <c r="C30" s="85"/>
      <c r="D30" s="86"/>
      <c r="E30" s="86"/>
      <c r="F30" s="86"/>
    </row>
    <row r="31" spans="1:15" x14ac:dyDescent="0.25">
      <c r="C31" s="85"/>
      <c r="D31" s="86"/>
      <c r="E31" s="86"/>
      <c r="F31" s="86"/>
    </row>
    <row r="32" spans="1:15" x14ac:dyDescent="0.25">
      <c r="C32" s="85"/>
      <c r="D32" s="86"/>
      <c r="E32" s="86"/>
      <c r="F32" s="86"/>
    </row>
    <row r="33" spans="3:6" x14ac:dyDescent="0.25">
      <c r="C33" s="85"/>
      <c r="D33" s="86"/>
      <c r="E33" s="86"/>
      <c r="F33" s="86"/>
    </row>
    <row r="34" spans="3:6" x14ac:dyDescent="0.25">
      <c r="C34" s="85"/>
      <c r="D34" s="86"/>
      <c r="E34" s="86"/>
      <c r="F34" s="86"/>
    </row>
    <row r="35" spans="3:6" x14ac:dyDescent="0.25">
      <c r="C35" s="85"/>
      <c r="D35" s="86"/>
      <c r="E35" s="86"/>
      <c r="F35" s="86"/>
    </row>
    <row r="36" spans="3:6" x14ac:dyDescent="0.25">
      <c r="C36" s="85"/>
      <c r="D36" s="86"/>
      <c r="E36" s="86"/>
      <c r="F36" s="86"/>
    </row>
    <row r="37" spans="3:6" x14ac:dyDescent="0.25">
      <c r="C37" s="85"/>
      <c r="D37" s="86"/>
      <c r="E37" s="86"/>
      <c r="F37" s="86"/>
    </row>
    <row r="38" spans="3:6" x14ac:dyDescent="0.25">
      <c r="C38" s="85"/>
      <c r="D38" s="86"/>
      <c r="E38" s="86"/>
      <c r="F38" s="86"/>
    </row>
    <row r="39" spans="3:6" x14ac:dyDescent="0.25">
      <c r="C39" s="85"/>
      <c r="D39" s="86"/>
      <c r="E39" s="86"/>
      <c r="F39" s="86"/>
    </row>
    <row r="40" spans="3:6" x14ac:dyDescent="0.25">
      <c r="C40" s="85"/>
      <c r="D40" s="86"/>
      <c r="E40" s="86"/>
      <c r="F40" s="86"/>
    </row>
    <row r="41" spans="3:6" x14ac:dyDescent="0.25">
      <c r="C41" s="85"/>
      <c r="D41" s="86"/>
      <c r="E41" s="86"/>
      <c r="F41" s="86"/>
    </row>
    <row r="42" spans="3:6" x14ac:dyDescent="0.25">
      <c r="C42" s="85"/>
      <c r="D42" s="86"/>
      <c r="E42" s="86"/>
      <c r="F42" s="86"/>
    </row>
    <row r="43" spans="3:6" x14ac:dyDescent="0.25">
      <c r="C43" s="85"/>
      <c r="D43" s="86"/>
      <c r="E43" s="86"/>
      <c r="F43" s="86"/>
    </row>
    <row r="44" spans="3:6" x14ac:dyDescent="0.25">
      <c r="C44" s="85"/>
      <c r="D44" s="86"/>
      <c r="E44" s="86"/>
      <c r="F44" s="86"/>
    </row>
    <row r="45" spans="3:6" x14ac:dyDescent="0.25">
      <c r="C45" s="85"/>
      <c r="D45" s="86"/>
      <c r="E45" s="86"/>
      <c r="F45" s="86"/>
    </row>
    <row r="46" spans="3:6" x14ac:dyDescent="0.25">
      <c r="C46" s="85"/>
      <c r="D46" s="86"/>
      <c r="E46" s="86"/>
      <c r="F46" s="86"/>
    </row>
    <row r="47" spans="3:6" x14ac:dyDescent="0.25">
      <c r="C47" s="85"/>
      <c r="D47" s="86"/>
      <c r="E47" s="86"/>
      <c r="F47" s="86"/>
    </row>
  </sheetData>
  <pageMargins left="0.75" right="0.75" top="1" bottom="1" header="0.5" footer="0.5"/>
  <pageSetup orientation="portrait" r:id="rId1"/>
  <headerFooter>
    <oddHeader>&amp;C&amp;"Calibri"&amp;10&amp;K000000 Internal Use Only&amp;1#_x000D_</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68"/>
  <sheetViews>
    <sheetView zoomScaleNormal="100" workbookViewId="0">
      <selection activeCell="A3" sqref="A3"/>
    </sheetView>
  </sheetViews>
  <sheetFormatPr defaultColWidth="9.1796875" defaultRowHeight="12.5" x14ac:dyDescent="0.25"/>
  <cols>
    <col min="1" max="1" width="9.1796875" style="82"/>
    <col min="2" max="2" width="9.54296875" style="82" bestFit="1" customWidth="1"/>
    <col min="3" max="3" width="13.26953125" style="82" hidden="1" customWidth="1"/>
    <col min="4" max="4" width="12.1796875" style="82" bestFit="1" customWidth="1"/>
    <col min="5" max="6" width="9.1796875" style="82"/>
    <col min="7" max="7" width="19.453125" style="82" bestFit="1" customWidth="1"/>
    <col min="8" max="8" width="15.453125" style="82" bestFit="1" customWidth="1"/>
    <col min="9" max="16" width="9.1796875" style="82"/>
    <col min="17" max="17" width="14.54296875" style="82" bestFit="1" customWidth="1"/>
    <col min="18" max="18" width="11.54296875" style="82" bestFit="1" customWidth="1"/>
    <col min="19" max="16384" width="9.1796875" style="82"/>
  </cols>
  <sheetData>
    <row r="1" spans="1:17" ht="17.5" x14ac:dyDescent="0.25">
      <c r="A1" s="8" t="s">
        <v>155</v>
      </c>
    </row>
    <row r="2" spans="1:17" ht="17.5" x14ac:dyDescent="0.25">
      <c r="A2" s="8"/>
    </row>
    <row r="3" spans="1:17" ht="14" x14ac:dyDescent="0.25">
      <c r="A3" s="109" t="s">
        <v>156</v>
      </c>
    </row>
    <row r="4" spans="1:17" x14ac:dyDescent="0.25">
      <c r="A4" s="89" t="s">
        <v>130</v>
      </c>
      <c r="B4" s="89" t="s">
        <v>131</v>
      </c>
      <c r="C4" s="88" t="s">
        <v>132</v>
      </c>
      <c r="D4" s="128" t="s">
        <v>157</v>
      </c>
    </row>
    <row r="5" spans="1:17" ht="14.5" x14ac:dyDescent="0.35">
      <c r="A5" s="90" t="str">
        <f>LEFT(Table13[[#This Row],[Filing Quarter]],4)</f>
        <v>2020</v>
      </c>
      <c r="B5" s="90" t="str">
        <f>RIGHT(Table13[[#This Row],[Filing Quarter]],2)</f>
        <v>Q1</v>
      </c>
      <c r="C5" s="113" t="s">
        <v>136</v>
      </c>
      <c r="D5" s="129">
        <v>94419</v>
      </c>
      <c r="E5"/>
      <c r="F5"/>
      <c r="G5"/>
      <c r="H5"/>
      <c r="I5"/>
      <c r="J5"/>
      <c r="K5"/>
      <c r="L5"/>
      <c r="M5"/>
      <c r="N5"/>
      <c r="O5"/>
      <c r="P5"/>
      <c r="Q5"/>
    </row>
    <row r="6" spans="1:17" ht="14.5" x14ac:dyDescent="0.35">
      <c r="A6" s="90" t="str">
        <f>LEFT(Table13[[#This Row],[Filing Quarter]],4)</f>
        <v>2020</v>
      </c>
      <c r="B6" s="90" t="str">
        <f>RIGHT(Table13[[#This Row],[Filing Quarter]],2)</f>
        <v>Q2</v>
      </c>
      <c r="C6" s="113" t="s">
        <v>137</v>
      </c>
      <c r="D6" s="129">
        <v>99501</v>
      </c>
      <c r="E6"/>
      <c r="F6"/>
      <c r="G6"/>
      <c r="H6"/>
      <c r="I6"/>
      <c r="J6"/>
      <c r="K6"/>
      <c r="L6"/>
      <c r="M6"/>
      <c r="N6"/>
      <c r="O6"/>
      <c r="P6"/>
      <c r="Q6"/>
    </row>
    <row r="7" spans="1:17" ht="14.5" x14ac:dyDescent="0.35">
      <c r="A7" s="90" t="str">
        <f>LEFT(Table13[[#This Row],[Filing Quarter]],4)</f>
        <v>2020</v>
      </c>
      <c r="B7" s="90" t="str">
        <f>RIGHT(Table13[[#This Row],[Filing Quarter]],2)</f>
        <v>Q3</v>
      </c>
      <c r="C7" s="113" t="s">
        <v>138</v>
      </c>
      <c r="D7" s="129">
        <v>105994</v>
      </c>
      <c r="E7"/>
      <c r="F7"/>
      <c r="G7"/>
      <c r="H7"/>
      <c r="I7"/>
      <c r="J7"/>
      <c r="K7"/>
      <c r="L7"/>
      <c r="M7"/>
      <c r="N7"/>
      <c r="O7"/>
      <c r="P7"/>
      <c r="Q7"/>
    </row>
    <row r="8" spans="1:17" ht="14.5" x14ac:dyDescent="0.35">
      <c r="A8" s="90" t="str">
        <f>LEFT(Table13[[#This Row],[Filing Quarter]],4)</f>
        <v>2020</v>
      </c>
      <c r="B8" s="90" t="str">
        <f>RIGHT(Table13[[#This Row],[Filing Quarter]],2)</f>
        <v>Q4</v>
      </c>
      <c r="C8" s="113" t="s">
        <v>139</v>
      </c>
      <c r="D8" s="129">
        <v>112559</v>
      </c>
      <c r="E8"/>
      <c r="F8"/>
      <c r="G8"/>
      <c r="H8"/>
      <c r="I8"/>
      <c r="J8"/>
      <c r="K8"/>
      <c r="L8"/>
      <c r="M8"/>
      <c r="N8"/>
      <c r="O8"/>
      <c r="P8"/>
      <c r="Q8"/>
    </row>
    <row r="9" spans="1:17" ht="14.5" x14ac:dyDescent="0.35">
      <c r="A9" s="90" t="str">
        <f>LEFT(Table13[[#This Row],[Filing Quarter]],4)</f>
        <v>2021</v>
      </c>
      <c r="B9" s="90" t="str">
        <f>RIGHT(Table13[[#This Row],[Filing Quarter]],2)</f>
        <v>Q1</v>
      </c>
      <c r="C9" s="113" t="s">
        <v>140</v>
      </c>
      <c r="D9" s="129">
        <v>117789</v>
      </c>
      <c r="E9"/>
      <c r="F9"/>
      <c r="G9"/>
      <c r="H9"/>
      <c r="I9"/>
      <c r="J9"/>
      <c r="K9"/>
      <c r="L9"/>
      <c r="M9"/>
      <c r="N9"/>
      <c r="O9"/>
      <c r="P9"/>
      <c r="Q9"/>
    </row>
    <row r="10" spans="1:17" ht="14.5" x14ac:dyDescent="0.35">
      <c r="A10" s="90" t="str">
        <f>LEFT(Table13[[#This Row],[Filing Quarter]],4)</f>
        <v>2021</v>
      </c>
      <c r="B10" s="90" t="str">
        <f>RIGHT(Table13[[#This Row],[Filing Quarter]],2)</f>
        <v>Q2</v>
      </c>
      <c r="C10" s="113" t="s">
        <v>141</v>
      </c>
      <c r="D10" s="129">
        <v>121245</v>
      </c>
      <c r="E10"/>
      <c r="F10"/>
      <c r="G10"/>
      <c r="H10"/>
      <c r="I10"/>
      <c r="J10"/>
      <c r="K10"/>
      <c r="L10"/>
      <c r="M10"/>
      <c r="N10"/>
      <c r="O10"/>
      <c r="P10"/>
      <c r="Q10"/>
    </row>
    <row r="11" spans="1:17" ht="14.5" x14ac:dyDescent="0.35">
      <c r="A11" s="90" t="str">
        <f>LEFT(Table13[[#This Row],[Filing Quarter]],4)</f>
        <v>2021</v>
      </c>
      <c r="B11" s="90" t="str">
        <f>RIGHT(Table13[[#This Row],[Filing Quarter]],2)</f>
        <v>Q3</v>
      </c>
      <c r="C11" s="113" t="s">
        <v>142</v>
      </c>
      <c r="D11" s="129">
        <v>123942</v>
      </c>
      <c r="E11"/>
      <c r="F11"/>
      <c r="G11"/>
      <c r="H11"/>
      <c r="I11"/>
      <c r="J11"/>
      <c r="K11"/>
      <c r="L11"/>
      <c r="M11"/>
      <c r="N11"/>
      <c r="O11"/>
      <c r="P11"/>
      <c r="Q11"/>
    </row>
    <row r="12" spans="1:17" ht="14.5" x14ac:dyDescent="0.35">
      <c r="A12" s="90" t="str">
        <f>LEFT(Table13[[#This Row],[Filing Quarter]],4)</f>
        <v>2021</v>
      </c>
      <c r="B12" s="90" t="str">
        <f>RIGHT(Table13[[#This Row],[Filing Quarter]],2)</f>
        <v>Q4</v>
      </c>
      <c r="C12" s="113" t="s">
        <v>143</v>
      </c>
      <c r="D12" s="129">
        <v>124805</v>
      </c>
      <c r="E12"/>
      <c r="F12"/>
      <c r="G12"/>
      <c r="H12"/>
      <c r="I12"/>
      <c r="J12"/>
      <c r="K12"/>
      <c r="L12"/>
      <c r="M12"/>
      <c r="N12"/>
      <c r="O12"/>
      <c r="P12"/>
      <c r="Q12"/>
    </row>
    <row r="13" spans="1:17" ht="14.5" x14ac:dyDescent="0.35">
      <c r="A13" s="90" t="str">
        <f>LEFT(Table13[[#This Row],[Filing Quarter]],4)</f>
        <v>2022</v>
      </c>
      <c r="B13" s="90" t="str">
        <f>RIGHT(Table13[[#This Row],[Filing Quarter]],2)</f>
        <v>Q1</v>
      </c>
      <c r="C13" s="113" t="s">
        <v>144</v>
      </c>
      <c r="D13" s="129">
        <v>120157</v>
      </c>
      <c r="E13"/>
      <c r="F13"/>
      <c r="G13"/>
      <c r="H13"/>
      <c r="I13"/>
      <c r="J13"/>
      <c r="K13"/>
      <c r="L13"/>
      <c r="M13"/>
      <c r="N13"/>
      <c r="O13"/>
      <c r="P13"/>
      <c r="Q13"/>
    </row>
    <row r="14" spans="1:17" ht="14.5" x14ac:dyDescent="0.35">
      <c r="A14" s="90" t="str">
        <f>LEFT(Table13[[#This Row],[Filing Quarter]],4)</f>
        <v>2022</v>
      </c>
      <c r="B14" s="90" t="str">
        <f>RIGHT(Table13[[#This Row],[Filing Quarter]],2)</f>
        <v>Q2</v>
      </c>
      <c r="C14" s="113" t="s">
        <v>145</v>
      </c>
      <c r="D14" s="129">
        <v>115270</v>
      </c>
      <c r="E14"/>
      <c r="F14"/>
      <c r="G14"/>
      <c r="H14"/>
      <c r="I14"/>
      <c r="J14"/>
      <c r="K14"/>
      <c r="L14"/>
      <c r="M14"/>
      <c r="N14"/>
      <c r="O14"/>
      <c r="P14"/>
      <c r="Q14"/>
    </row>
    <row r="15" spans="1:17" ht="14.5" x14ac:dyDescent="0.35">
      <c r="A15" s="90" t="str">
        <f>LEFT(Table13[[#This Row],[Filing Quarter]],4)</f>
        <v>2022</v>
      </c>
      <c r="B15" s="90" t="str">
        <f>RIGHT(Table13[[#This Row],[Filing Quarter]],2)</f>
        <v>Q3</v>
      </c>
      <c r="C15" s="113" t="s">
        <v>146</v>
      </c>
      <c r="D15" s="129">
        <v>105507</v>
      </c>
      <c r="E15"/>
      <c r="F15"/>
      <c r="G15"/>
      <c r="H15"/>
      <c r="I15"/>
      <c r="J15"/>
      <c r="K15"/>
      <c r="L15"/>
      <c r="M15"/>
      <c r="N15"/>
      <c r="O15"/>
      <c r="P15"/>
      <c r="Q15"/>
    </row>
    <row r="16" spans="1:17" ht="14.5" x14ac:dyDescent="0.35">
      <c r="A16" s="90" t="str">
        <f>LEFT(Table13[[#This Row],[Filing Quarter]],4)</f>
        <v>2022</v>
      </c>
      <c r="B16" s="90" t="str">
        <f>RIGHT(Table13[[#This Row],[Filing Quarter]],2)</f>
        <v>Q4</v>
      </c>
      <c r="C16" s="113" t="s">
        <v>147</v>
      </c>
      <c r="D16" s="129">
        <v>94091</v>
      </c>
      <c r="E16"/>
      <c r="F16"/>
      <c r="G16"/>
      <c r="H16"/>
      <c r="I16"/>
      <c r="J16"/>
      <c r="K16"/>
      <c r="L16"/>
      <c r="M16"/>
      <c r="N16"/>
      <c r="O16"/>
      <c r="P16"/>
      <c r="Q16"/>
    </row>
    <row r="17" spans="1:17" ht="14.5" x14ac:dyDescent="0.35">
      <c r="A17" s="90" t="str">
        <f>LEFT(Table13[[#This Row],[Filing Quarter]],4)</f>
        <v>2023</v>
      </c>
      <c r="B17" s="90" t="str">
        <f>RIGHT(Table13[[#This Row],[Filing Quarter]],2)</f>
        <v>Q1</v>
      </c>
      <c r="C17" s="113" t="s">
        <v>148</v>
      </c>
      <c r="D17" s="129">
        <v>86670</v>
      </c>
      <c r="E17"/>
      <c r="F17"/>
      <c r="G17"/>
      <c r="H17"/>
      <c r="I17"/>
      <c r="J17"/>
      <c r="K17"/>
      <c r="L17"/>
      <c r="M17"/>
      <c r="N17"/>
      <c r="O17"/>
      <c r="P17"/>
      <c r="Q17"/>
    </row>
    <row r="18" spans="1:17" ht="14.5" x14ac:dyDescent="0.35">
      <c r="A18" s="90" t="str">
        <f>LEFT(Table13[[#This Row],[Filing Quarter]],4)</f>
        <v>2023</v>
      </c>
      <c r="B18" s="90" t="str">
        <f>RIGHT(Table13[[#This Row],[Filing Quarter]],2)</f>
        <v>Q2</v>
      </c>
      <c r="C18" s="113" t="s">
        <v>149</v>
      </c>
      <c r="D18" s="129">
        <v>90853</v>
      </c>
      <c r="E18"/>
      <c r="F18"/>
      <c r="G18"/>
      <c r="H18"/>
      <c r="I18"/>
      <c r="J18"/>
      <c r="K18"/>
      <c r="L18"/>
      <c r="M18"/>
      <c r="N18"/>
      <c r="O18"/>
      <c r="P18"/>
      <c r="Q18"/>
    </row>
    <row r="19" spans="1:17" ht="14.5" x14ac:dyDescent="0.35">
      <c r="A19" s="90" t="str">
        <f>LEFT(Table13[[#This Row],[Filing Quarter]],4)</f>
        <v>2023</v>
      </c>
      <c r="B19" s="90" t="str">
        <f>RIGHT(Table13[[#This Row],[Filing Quarter]],2)</f>
        <v>Q3</v>
      </c>
      <c r="C19" s="113" t="s">
        <v>150</v>
      </c>
      <c r="D19" s="129">
        <v>89296</v>
      </c>
      <c r="E19"/>
      <c r="F19"/>
      <c r="G19"/>
      <c r="H19"/>
      <c r="I19"/>
      <c r="J19"/>
      <c r="K19"/>
      <c r="L19"/>
      <c r="M19"/>
      <c r="N19"/>
      <c r="O19"/>
      <c r="P19"/>
      <c r="Q19"/>
    </row>
    <row r="20" spans="1:17" ht="14.5" x14ac:dyDescent="0.35">
      <c r="A20" s="90" t="str">
        <f>LEFT(Table13[[#This Row],[Filing Quarter]],4)</f>
        <v>2023</v>
      </c>
      <c r="B20" s="90" t="str">
        <f>RIGHT(Table13[[#This Row],[Filing Quarter]],2)</f>
        <v>Q4</v>
      </c>
      <c r="C20" s="113" t="s">
        <v>151</v>
      </c>
      <c r="D20" s="129">
        <v>83580</v>
      </c>
      <c r="E20"/>
      <c r="F20"/>
      <c r="G20"/>
      <c r="H20"/>
      <c r="I20"/>
      <c r="J20"/>
      <c r="K20"/>
      <c r="L20"/>
      <c r="M20"/>
      <c r="N20"/>
      <c r="O20"/>
      <c r="P20"/>
      <c r="Q20"/>
    </row>
    <row r="21" spans="1:17" ht="14.5" x14ac:dyDescent="0.35">
      <c r="A21" s="90" t="str">
        <f>LEFT(Table13[[#This Row],[Filing Quarter]],4)</f>
        <v>2024</v>
      </c>
      <c r="B21" s="90" t="str">
        <f>RIGHT(Table13[[#This Row],[Filing Quarter]],2)</f>
        <v>Q1</v>
      </c>
      <c r="C21" s="113" t="s">
        <v>152</v>
      </c>
      <c r="D21" s="129">
        <v>82484</v>
      </c>
      <c r="E21"/>
      <c r="F21"/>
      <c r="G21"/>
      <c r="H21"/>
      <c r="I21"/>
      <c r="J21"/>
      <c r="K21"/>
      <c r="L21"/>
      <c r="M21"/>
      <c r="N21"/>
      <c r="O21"/>
      <c r="P21"/>
      <c r="Q21"/>
    </row>
    <row r="22" spans="1:17" ht="14.5" x14ac:dyDescent="0.35">
      <c r="A22" s="90" t="str">
        <f>LEFT(Table13[[#This Row],[Filing Quarter]],4)</f>
        <v>2024</v>
      </c>
      <c r="B22" s="90" t="str">
        <f>RIGHT(Table13[[#This Row],[Filing Quarter]],2)</f>
        <v>Q2</v>
      </c>
      <c r="C22" s="113" t="s">
        <v>153</v>
      </c>
      <c r="D22" s="129">
        <v>87476</v>
      </c>
      <c r="E22"/>
      <c r="F22"/>
      <c r="G22"/>
      <c r="H22"/>
      <c r="I22"/>
      <c r="J22"/>
      <c r="K22"/>
      <c r="L22"/>
      <c r="M22"/>
      <c r="N22"/>
      <c r="O22"/>
      <c r="P22"/>
      <c r="Q22"/>
    </row>
    <row r="23" spans="1:17" ht="14.5" x14ac:dyDescent="0.35">
      <c r="A23" s="90" t="str">
        <f>LEFT(Table13[[#This Row],[Filing Quarter]],4)</f>
        <v>2024</v>
      </c>
      <c r="B23" s="90" t="str">
        <f>RIGHT(Table13[[#This Row],[Filing Quarter]],2)</f>
        <v>Q3</v>
      </c>
      <c r="C23" s="113" t="s">
        <v>154</v>
      </c>
      <c r="D23" s="129">
        <v>88330</v>
      </c>
      <c r="E23"/>
      <c r="F23"/>
      <c r="G23"/>
      <c r="H23"/>
      <c r="I23"/>
      <c r="J23"/>
      <c r="K23"/>
      <c r="L23"/>
      <c r="M23"/>
      <c r="N23"/>
      <c r="O23"/>
      <c r="P23"/>
      <c r="Q23"/>
    </row>
    <row r="24" spans="1:17" ht="14.5" x14ac:dyDescent="0.35">
      <c r="A24" s="90" t="str">
        <f>LEFT(Table13[[#This Row],[Filing Quarter]],4)</f>
        <v>2024</v>
      </c>
      <c r="B24" s="90" t="str">
        <f>RIGHT(Table13[[#This Row],[Filing Quarter]],2)</f>
        <v>Q4</v>
      </c>
      <c r="C24" s="131" t="s">
        <v>177</v>
      </c>
      <c r="D24" s="132">
        <v>87475</v>
      </c>
      <c r="E24"/>
      <c r="F24"/>
      <c r="G24"/>
      <c r="H24"/>
      <c r="I24"/>
      <c r="J24"/>
      <c r="K24"/>
      <c r="L24"/>
      <c r="M24"/>
      <c r="N24"/>
      <c r="O24"/>
      <c r="P24"/>
      <c r="Q24"/>
    </row>
    <row r="25" spans="1:17" ht="14.5" x14ac:dyDescent="0.35">
      <c r="A25" s="90" t="str">
        <f>LEFT(Table13[[#This Row],[Filing Quarter]],4)</f>
        <v>2025</v>
      </c>
      <c r="B25" s="90" t="str">
        <f>RIGHT(Table13[[#This Row],[Filing Quarter]],2)</f>
        <v>Q1</v>
      </c>
      <c r="C25" s="113" t="s">
        <v>181</v>
      </c>
      <c r="D25" s="129">
        <v>82487</v>
      </c>
      <c r="E25"/>
      <c r="F25"/>
      <c r="G25"/>
      <c r="H25"/>
      <c r="I25"/>
      <c r="J25"/>
      <c r="K25"/>
      <c r="L25"/>
      <c r="M25"/>
      <c r="N25"/>
      <c r="O25"/>
      <c r="P25"/>
      <c r="Q25"/>
    </row>
    <row r="26" spans="1:17" ht="14.5" x14ac:dyDescent="0.35">
      <c r="A26" s="90"/>
      <c r="B26" s="90"/>
      <c r="C26" s="130"/>
      <c r="D26" s="129"/>
      <c r="E26"/>
      <c r="F26"/>
      <c r="G26"/>
      <c r="H26"/>
      <c r="I26"/>
      <c r="J26"/>
      <c r="K26"/>
      <c r="L26"/>
      <c r="M26"/>
      <c r="N26"/>
      <c r="O26"/>
      <c r="P26"/>
      <c r="Q26"/>
    </row>
    <row r="27" spans="1:17" x14ac:dyDescent="0.25">
      <c r="B27" s="81"/>
      <c r="C27" s="81"/>
    </row>
    <row r="28" spans="1:17" x14ac:dyDescent="0.25">
      <c r="B28" s="81"/>
      <c r="C28" s="81"/>
    </row>
    <row r="29" spans="1:17" x14ac:dyDescent="0.25">
      <c r="B29" s="81"/>
      <c r="C29" s="81"/>
    </row>
    <row r="30" spans="1:17" x14ac:dyDescent="0.25">
      <c r="B30" s="81"/>
      <c r="C30" s="81"/>
    </row>
    <row r="31" spans="1:17" x14ac:dyDescent="0.25">
      <c r="B31" s="81"/>
      <c r="C31" s="81"/>
    </row>
    <row r="32" spans="1:17" x14ac:dyDescent="0.25">
      <c r="B32" s="81"/>
      <c r="C32" s="81"/>
    </row>
    <row r="33" spans="2:3" x14ac:dyDescent="0.25">
      <c r="B33" s="81"/>
      <c r="C33" s="81"/>
    </row>
    <row r="34" spans="2:3" x14ac:dyDescent="0.25">
      <c r="B34" s="81"/>
      <c r="C34" s="81"/>
    </row>
    <row r="35" spans="2:3" x14ac:dyDescent="0.25">
      <c r="B35" s="81"/>
      <c r="C35" s="81"/>
    </row>
    <row r="36" spans="2:3" x14ac:dyDescent="0.25">
      <c r="B36" s="81"/>
      <c r="C36" s="81"/>
    </row>
    <row r="37" spans="2:3" x14ac:dyDescent="0.25">
      <c r="B37" s="81"/>
      <c r="C37" s="81"/>
    </row>
    <row r="54" spans="4:15" x14ac:dyDescent="0.25">
      <c r="D54" s="81"/>
      <c r="E54" s="81"/>
      <c r="F54" s="81"/>
      <c r="G54" s="81"/>
      <c r="I54" s="81"/>
      <c r="J54" s="81"/>
      <c r="K54" s="81"/>
      <c r="L54" s="81"/>
      <c r="M54" s="81"/>
      <c r="N54" s="81"/>
    </row>
    <row r="55" spans="4:15" x14ac:dyDescent="0.25">
      <c r="D55" s="81"/>
      <c r="E55" s="81"/>
      <c r="F55" s="81"/>
      <c r="G55" s="81"/>
      <c r="I55" s="81"/>
      <c r="J55" s="81"/>
      <c r="K55" s="81"/>
      <c r="L55" s="81"/>
      <c r="M55" s="81"/>
      <c r="N55" s="81"/>
    </row>
    <row r="56" spans="4:15" x14ac:dyDescent="0.25">
      <c r="D56" s="81"/>
      <c r="E56" s="81"/>
      <c r="F56" s="81"/>
      <c r="G56" s="81"/>
      <c r="I56" s="81"/>
      <c r="J56" s="81"/>
      <c r="K56" s="81"/>
      <c r="L56" s="81"/>
      <c r="M56" s="81"/>
      <c r="N56" s="81"/>
    </row>
    <row r="57" spans="4:15" x14ac:dyDescent="0.25">
      <c r="D57" s="81"/>
      <c r="E57" s="81"/>
      <c r="F57" s="81"/>
      <c r="G57" s="81"/>
      <c r="I57" s="81"/>
      <c r="J57" s="81"/>
      <c r="K57" s="81"/>
      <c r="L57" s="81"/>
      <c r="M57" s="81"/>
      <c r="N57" s="81"/>
    </row>
    <row r="58" spans="4:15" x14ac:dyDescent="0.25">
      <c r="D58" s="81"/>
      <c r="E58" s="81"/>
      <c r="F58" s="81"/>
      <c r="G58" s="81"/>
      <c r="I58" s="81"/>
      <c r="J58" s="81"/>
      <c r="K58" s="81"/>
      <c r="L58" s="81"/>
      <c r="M58" s="81"/>
      <c r="N58" s="81"/>
    </row>
    <row r="59" spans="4:15" x14ac:dyDescent="0.25">
      <c r="D59" s="81"/>
      <c r="E59" s="81"/>
      <c r="F59" s="81"/>
      <c r="G59" s="81"/>
      <c r="I59" s="81"/>
      <c r="J59" s="81"/>
      <c r="K59" s="81"/>
      <c r="L59" s="81"/>
      <c r="M59" s="81"/>
      <c r="N59" s="81"/>
    </row>
    <row r="60" spans="4:15" x14ac:dyDescent="0.25">
      <c r="D60" s="81"/>
      <c r="E60" s="81"/>
      <c r="F60" s="81"/>
      <c r="G60" s="81"/>
      <c r="H60" s="81"/>
      <c r="J60" s="81"/>
      <c r="K60" s="81"/>
      <c r="L60" s="81"/>
      <c r="M60" s="81"/>
      <c r="N60" s="81"/>
      <c r="O60" s="81"/>
    </row>
    <row r="61" spans="4:15" x14ac:dyDescent="0.25">
      <c r="E61" s="81"/>
      <c r="F61" s="81"/>
      <c r="G61" s="81"/>
      <c r="H61" s="81"/>
      <c r="J61" s="81"/>
      <c r="K61" s="81"/>
      <c r="L61" s="81"/>
      <c r="M61" s="81"/>
      <c r="N61" s="81"/>
      <c r="O61" s="81"/>
    </row>
    <row r="62" spans="4:15" x14ac:dyDescent="0.25">
      <c r="E62" s="81"/>
      <c r="F62" s="81"/>
      <c r="G62" s="81"/>
      <c r="H62" s="81"/>
      <c r="J62" s="81"/>
      <c r="K62" s="81"/>
      <c r="L62" s="81"/>
      <c r="M62" s="81"/>
      <c r="N62" s="81"/>
      <c r="O62" s="81"/>
    </row>
    <row r="63" spans="4:15" x14ac:dyDescent="0.25">
      <c r="E63" s="81"/>
      <c r="F63" s="81"/>
      <c r="G63" s="81"/>
      <c r="H63" s="81"/>
      <c r="J63" s="81"/>
      <c r="K63" s="81"/>
      <c r="L63" s="81"/>
      <c r="M63" s="81"/>
      <c r="N63" s="81"/>
      <c r="O63" s="81"/>
    </row>
    <row r="64" spans="4:15" x14ac:dyDescent="0.25">
      <c r="E64" s="81"/>
      <c r="F64" s="81"/>
      <c r="G64" s="81"/>
      <c r="H64" s="81"/>
      <c r="I64" s="81"/>
      <c r="J64" s="81"/>
      <c r="K64" s="81"/>
      <c r="L64" s="81"/>
      <c r="M64" s="81"/>
      <c r="N64" s="81"/>
      <c r="O64" s="81"/>
    </row>
    <row r="65" spans="5:15" x14ac:dyDescent="0.25">
      <c r="E65" s="81"/>
      <c r="F65" s="81"/>
      <c r="G65" s="81"/>
      <c r="H65" s="81"/>
      <c r="I65" s="81"/>
      <c r="J65" s="81"/>
      <c r="K65" s="81"/>
      <c r="L65" s="81"/>
      <c r="M65" s="81"/>
      <c r="N65" s="81"/>
      <c r="O65" s="81"/>
    </row>
    <row r="66" spans="5:15" x14ac:dyDescent="0.25">
      <c r="E66" s="81"/>
      <c r="F66" s="81"/>
      <c r="G66" s="81"/>
      <c r="H66" s="81"/>
      <c r="I66" s="81"/>
      <c r="J66" s="81"/>
      <c r="K66" s="81"/>
      <c r="L66" s="81"/>
      <c r="M66" s="81"/>
      <c r="N66" s="81"/>
      <c r="O66" s="81"/>
    </row>
    <row r="67" spans="5:15" x14ac:dyDescent="0.25">
      <c r="E67" s="81"/>
      <c r="F67" s="81"/>
      <c r="G67" s="81"/>
      <c r="H67" s="81"/>
      <c r="I67" s="81"/>
      <c r="J67" s="81"/>
      <c r="K67" s="81"/>
      <c r="L67" s="81"/>
      <c r="M67" s="81"/>
      <c r="N67" s="81"/>
      <c r="O67" s="81"/>
    </row>
    <row r="68" spans="5:15" x14ac:dyDescent="0.25">
      <c r="E68" s="81"/>
      <c r="F68" s="81"/>
      <c r="G68" s="81"/>
      <c r="H68" s="81"/>
      <c r="I68" s="81"/>
      <c r="J68" s="81"/>
      <c r="K68" s="81"/>
      <c r="L68" s="81"/>
      <c r="M68" s="81"/>
      <c r="N68" s="81"/>
      <c r="O68" s="81"/>
    </row>
  </sheetData>
  <phoneticPr fontId="51" type="noConversion"/>
  <pageMargins left="0.75" right="0.75" top="1" bottom="1" header="0.5" footer="0.5"/>
  <pageSetup orientation="portrait" r:id="rId1"/>
  <headerFooter>
    <oddHeader>&amp;C&amp;"Calibri"&amp;10&amp;K000000 Internal Use Only&amp;1#_x000D_</oddHead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125"/>
  <sheetViews>
    <sheetView zoomScale="90" zoomScaleNormal="90" workbookViewId="0"/>
  </sheetViews>
  <sheetFormatPr defaultRowHeight="14.5" x14ac:dyDescent="0.35"/>
  <cols>
    <col min="1" max="1" width="20.1796875" customWidth="1"/>
    <col min="2" max="2" width="12.54296875" customWidth="1"/>
    <col min="3" max="7" width="11.453125" customWidth="1"/>
    <col min="8" max="8" width="8.81640625" customWidth="1"/>
    <col min="9" max="39" width="8.54296875" customWidth="1"/>
    <col min="40" max="40" width="8.81640625" customWidth="1"/>
  </cols>
  <sheetData>
    <row r="1" spans="1:7" ht="17.5" x14ac:dyDescent="0.35">
      <c r="A1" s="91" t="s">
        <v>182</v>
      </c>
    </row>
    <row r="2" spans="1:7" ht="15" thickBot="1" x14ac:dyDescent="0.4"/>
    <row r="3" spans="1:7" x14ac:dyDescent="0.35">
      <c r="A3" s="92" t="s">
        <v>158</v>
      </c>
      <c r="B3" s="93" t="s">
        <v>159</v>
      </c>
      <c r="C3" s="93" t="s">
        <v>160</v>
      </c>
      <c r="D3" s="94" t="s">
        <v>161</v>
      </c>
      <c r="E3" s="94" t="s">
        <v>162</v>
      </c>
      <c r="F3" s="94" t="s">
        <v>163</v>
      </c>
      <c r="G3" s="95" t="s">
        <v>164</v>
      </c>
    </row>
    <row r="4" spans="1:7" x14ac:dyDescent="0.35">
      <c r="A4" s="96" t="s">
        <v>35</v>
      </c>
      <c r="B4" s="97">
        <v>6387</v>
      </c>
      <c r="C4" s="98">
        <v>1991</v>
      </c>
      <c r="D4" s="99">
        <v>1959</v>
      </c>
      <c r="E4" s="99">
        <v>1069</v>
      </c>
      <c r="F4" s="99">
        <v>1333</v>
      </c>
      <c r="G4" s="100">
        <v>100</v>
      </c>
    </row>
    <row r="5" spans="1:7" x14ac:dyDescent="0.35">
      <c r="A5" s="96" t="s">
        <v>36</v>
      </c>
      <c r="B5" s="97">
        <v>696</v>
      </c>
      <c r="C5" s="98">
        <v>172</v>
      </c>
      <c r="D5" s="99">
        <v>17</v>
      </c>
      <c r="E5" s="99">
        <v>138</v>
      </c>
      <c r="F5" s="99">
        <v>370</v>
      </c>
      <c r="G5" s="100" t="s">
        <v>97</v>
      </c>
    </row>
    <row r="6" spans="1:7" x14ac:dyDescent="0.35">
      <c r="A6" s="96" t="s">
        <v>37</v>
      </c>
      <c r="B6" s="97">
        <v>7428</v>
      </c>
      <c r="C6" s="98">
        <v>889</v>
      </c>
      <c r="D6" s="99">
        <v>344</v>
      </c>
      <c r="E6" s="99">
        <v>1493</v>
      </c>
      <c r="F6" s="99">
        <v>5188</v>
      </c>
      <c r="G6" s="100" t="s">
        <v>97</v>
      </c>
    </row>
    <row r="7" spans="1:7" x14ac:dyDescent="0.35">
      <c r="A7" s="96" t="s">
        <v>39</v>
      </c>
      <c r="B7" s="97">
        <v>4328</v>
      </c>
      <c r="C7" s="98">
        <v>908</v>
      </c>
      <c r="D7" s="99">
        <v>2608</v>
      </c>
      <c r="E7" s="99">
        <v>322</v>
      </c>
      <c r="F7" s="99">
        <v>437</v>
      </c>
      <c r="G7" s="100">
        <v>82</v>
      </c>
    </row>
    <row r="8" spans="1:7" x14ac:dyDescent="0.35">
      <c r="A8" s="96" t="s">
        <v>165</v>
      </c>
      <c r="B8" s="97">
        <v>30627</v>
      </c>
      <c r="C8" s="98">
        <v>1959</v>
      </c>
      <c r="D8" s="99">
        <v>1597</v>
      </c>
      <c r="E8" s="99">
        <v>5390</v>
      </c>
      <c r="F8" s="99">
        <v>21807</v>
      </c>
      <c r="G8" s="100">
        <v>2</v>
      </c>
    </row>
    <row r="9" spans="1:7" x14ac:dyDescent="0.35">
      <c r="A9" s="96" t="s">
        <v>42</v>
      </c>
      <c r="B9" s="97">
        <v>7109</v>
      </c>
      <c r="C9" s="98">
        <v>1042</v>
      </c>
      <c r="D9" s="99">
        <v>884</v>
      </c>
      <c r="E9" s="99">
        <v>1609</v>
      </c>
      <c r="F9" s="99">
        <v>3629</v>
      </c>
      <c r="G9" s="100">
        <v>5</v>
      </c>
    </row>
    <row r="10" spans="1:7" x14ac:dyDescent="0.35">
      <c r="A10" s="96" t="s">
        <v>44</v>
      </c>
      <c r="B10" s="97">
        <v>5209</v>
      </c>
      <c r="C10" s="98">
        <v>1048</v>
      </c>
      <c r="D10" s="99">
        <v>744</v>
      </c>
      <c r="E10" s="99">
        <v>554</v>
      </c>
      <c r="F10" s="99">
        <v>2889</v>
      </c>
      <c r="G10" s="100">
        <v>6</v>
      </c>
    </row>
    <row r="11" spans="1:7" x14ac:dyDescent="0.35">
      <c r="A11" s="96" t="s">
        <v>45</v>
      </c>
      <c r="B11" s="97">
        <v>1444</v>
      </c>
      <c r="C11" s="98">
        <v>99</v>
      </c>
      <c r="D11" s="99">
        <v>239</v>
      </c>
      <c r="E11" s="99">
        <v>148</v>
      </c>
      <c r="F11" s="99">
        <v>954</v>
      </c>
      <c r="G11" s="100">
        <v>9</v>
      </c>
    </row>
    <row r="12" spans="1:7" x14ac:dyDescent="0.35">
      <c r="A12" s="96" t="s">
        <v>46</v>
      </c>
      <c r="B12" s="97">
        <v>1036</v>
      </c>
      <c r="C12" s="98">
        <v>62</v>
      </c>
      <c r="D12" s="99">
        <v>78</v>
      </c>
      <c r="E12" s="99">
        <v>127</v>
      </c>
      <c r="F12" s="99">
        <v>770</v>
      </c>
      <c r="G12" s="100" t="s">
        <v>97</v>
      </c>
    </row>
    <row r="13" spans="1:7" x14ac:dyDescent="0.35">
      <c r="A13" s="96" t="s">
        <v>47</v>
      </c>
      <c r="B13" s="97">
        <v>24557</v>
      </c>
      <c r="C13" s="98">
        <v>3893</v>
      </c>
      <c r="D13" s="99">
        <v>2733</v>
      </c>
      <c r="E13" s="99">
        <v>4966</v>
      </c>
      <c r="F13" s="99">
        <v>13145</v>
      </c>
      <c r="G13" s="100">
        <v>45</v>
      </c>
    </row>
    <row r="14" spans="1:7" x14ac:dyDescent="0.35">
      <c r="A14" s="96" t="s">
        <v>48</v>
      </c>
      <c r="B14" s="97">
        <v>8976</v>
      </c>
      <c r="C14" s="98">
        <v>3082</v>
      </c>
      <c r="D14" s="99">
        <v>1715</v>
      </c>
      <c r="E14" s="99">
        <v>850</v>
      </c>
      <c r="F14" s="99">
        <v>3413</v>
      </c>
      <c r="G14" s="100">
        <v>87</v>
      </c>
    </row>
    <row r="15" spans="1:7" x14ac:dyDescent="0.35">
      <c r="A15" s="96" t="s">
        <v>49</v>
      </c>
      <c r="B15" s="97">
        <v>97</v>
      </c>
      <c r="C15" s="98">
        <v>47</v>
      </c>
      <c r="D15" s="99">
        <v>24</v>
      </c>
      <c r="E15" s="99">
        <v>23</v>
      </c>
      <c r="F15" s="99">
        <v>3</v>
      </c>
      <c r="G15" s="100" t="s">
        <v>97</v>
      </c>
    </row>
    <row r="16" spans="1:7" x14ac:dyDescent="0.35">
      <c r="A16" s="96" t="s">
        <v>50</v>
      </c>
      <c r="B16" s="97">
        <v>1704</v>
      </c>
      <c r="C16" s="98">
        <v>218</v>
      </c>
      <c r="D16" s="99">
        <v>637</v>
      </c>
      <c r="E16" s="99">
        <v>520</v>
      </c>
      <c r="F16" s="99">
        <v>356</v>
      </c>
      <c r="G16" s="100" t="s">
        <v>97</v>
      </c>
    </row>
    <row r="17" spans="1:7" x14ac:dyDescent="0.35">
      <c r="A17" s="96" t="s">
        <v>51</v>
      </c>
      <c r="B17" s="97">
        <v>2699</v>
      </c>
      <c r="C17" s="98">
        <v>648</v>
      </c>
      <c r="D17" s="99">
        <v>84</v>
      </c>
      <c r="E17" s="99">
        <v>1097</v>
      </c>
      <c r="F17" s="99">
        <v>879</v>
      </c>
      <c r="G17" s="100">
        <v>5</v>
      </c>
    </row>
    <row r="18" spans="1:7" x14ac:dyDescent="0.35">
      <c r="A18" s="96" t="s">
        <v>52</v>
      </c>
      <c r="B18" s="97">
        <v>14684</v>
      </c>
      <c r="C18" s="98">
        <v>2653</v>
      </c>
      <c r="D18" s="99">
        <v>734</v>
      </c>
      <c r="E18" s="99">
        <v>1640</v>
      </c>
      <c r="F18" s="99">
        <v>9717</v>
      </c>
      <c r="G18" s="100">
        <v>17</v>
      </c>
    </row>
    <row r="19" spans="1:7" x14ac:dyDescent="0.35">
      <c r="A19" s="96" t="s">
        <v>166</v>
      </c>
      <c r="B19" s="97">
        <v>8023</v>
      </c>
      <c r="C19" s="98">
        <v>2143</v>
      </c>
      <c r="D19" s="99">
        <v>1014</v>
      </c>
      <c r="E19" s="99">
        <v>1898</v>
      </c>
      <c r="F19" s="99">
        <v>2976</v>
      </c>
      <c r="G19" s="100">
        <v>56</v>
      </c>
    </row>
    <row r="20" spans="1:7" x14ac:dyDescent="0.35">
      <c r="A20" s="96" t="s">
        <v>55</v>
      </c>
      <c r="B20" s="97">
        <v>4587</v>
      </c>
      <c r="C20" s="98">
        <v>1807</v>
      </c>
      <c r="D20" s="99">
        <v>696</v>
      </c>
      <c r="E20" s="99">
        <v>886</v>
      </c>
      <c r="F20" s="99">
        <v>1210</v>
      </c>
      <c r="G20" s="100">
        <v>13</v>
      </c>
    </row>
    <row r="21" spans="1:7" x14ac:dyDescent="0.35">
      <c r="A21" s="96" t="s">
        <v>56</v>
      </c>
      <c r="B21" s="97">
        <v>3686</v>
      </c>
      <c r="C21" s="98">
        <v>1182</v>
      </c>
      <c r="D21" s="99">
        <v>673</v>
      </c>
      <c r="E21" s="99">
        <v>578</v>
      </c>
      <c r="F21" s="99">
        <v>1280</v>
      </c>
      <c r="G21" s="100">
        <v>13</v>
      </c>
    </row>
    <row r="22" spans="1:7" x14ac:dyDescent="0.35">
      <c r="A22" s="96" t="s">
        <v>57</v>
      </c>
      <c r="B22" s="97">
        <v>5663</v>
      </c>
      <c r="C22" s="98">
        <v>1886</v>
      </c>
      <c r="D22" s="99">
        <v>764</v>
      </c>
      <c r="E22" s="99">
        <v>605</v>
      </c>
      <c r="F22" s="99">
        <v>2193</v>
      </c>
      <c r="G22" s="100">
        <v>263</v>
      </c>
    </row>
    <row r="23" spans="1:7" x14ac:dyDescent="0.35">
      <c r="A23" s="96" t="s">
        <v>58</v>
      </c>
      <c r="B23" s="97">
        <v>4905</v>
      </c>
      <c r="C23" s="98">
        <v>2346</v>
      </c>
      <c r="D23" s="99">
        <v>827</v>
      </c>
      <c r="E23" s="99">
        <v>622</v>
      </c>
      <c r="F23" s="99">
        <v>1126</v>
      </c>
      <c r="G23" s="100">
        <v>51</v>
      </c>
    </row>
    <row r="24" spans="1:7" x14ac:dyDescent="0.35">
      <c r="A24" s="96" t="s">
        <v>59</v>
      </c>
      <c r="B24" s="97">
        <v>1575</v>
      </c>
      <c r="C24" s="98">
        <v>506</v>
      </c>
      <c r="D24" s="99">
        <v>77</v>
      </c>
      <c r="E24" s="99">
        <v>488</v>
      </c>
      <c r="F24" s="99">
        <v>509</v>
      </c>
      <c r="G24" s="100">
        <v>2</v>
      </c>
    </row>
    <row r="25" spans="1:7" x14ac:dyDescent="0.35">
      <c r="A25" s="96" t="s">
        <v>60</v>
      </c>
      <c r="B25" s="97">
        <v>5734</v>
      </c>
      <c r="C25" s="98">
        <v>1208</v>
      </c>
      <c r="D25" s="99">
        <v>1049</v>
      </c>
      <c r="E25" s="99">
        <v>805</v>
      </c>
      <c r="F25" s="99">
        <v>2661</v>
      </c>
      <c r="G25" s="100">
        <v>51</v>
      </c>
    </row>
    <row r="26" spans="1:7" x14ac:dyDescent="0.35">
      <c r="A26" s="96" t="s">
        <v>61</v>
      </c>
      <c r="B26" s="97">
        <v>9077</v>
      </c>
      <c r="C26" s="98">
        <v>3511</v>
      </c>
      <c r="D26" s="99">
        <v>983</v>
      </c>
      <c r="E26" s="99">
        <v>1571</v>
      </c>
      <c r="F26" s="99">
        <v>3076</v>
      </c>
      <c r="G26" s="100" t="s">
        <v>97</v>
      </c>
    </row>
    <row r="27" spans="1:7" x14ac:dyDescent="0.35">
      <c r="A27" s="96" t="s">
        <v>62</v>
      </c>
      <c r="B27" s="97">
        <v>11203</v>
      </c>
      <c r="C27" s="98">
        <v>1170</v>
      </c>
      <c r="D27" s="99">
        <v>1271</v>
      </c>
      <c r="E27" s="99">
        <v>3726</v>
      </c>
      <c r="F27" s="99">
        <v>5033</v>
      </c>
      <c r="G27" s="100">
        <v>92</v>
      </c>
    </row>
    <row r="28" spans="1:7" x14ac:dyDescent="0.35">
      <c r="A28" s="96" t="s">
        <v>63</v>
      </c>
      <c r="B28" s="97">
        <v>7175</v>
      </c>
      <c r="C28" s="98">
        <v>1765</v>
      </c>
      <c r="D28" s="99">
        <v>298</v>
      </c>
      <c r="E28" s="99">
        <v>1252</v>
      </c>
      <c r="F28" s="99">
        <v>3873</v>
      </c>
      <c r="G28" s="100">
        <v>30</v>
      </c>
    </row>
    <row r="29" spans="1:7" x14ac:dyDescent="0.35">
      <c r="A29" s="96" t="s">
        <v>64</v>
      </c>
      <c r="B29" s="97">
        <v>3650</v>
      </c>
      <c r="C29" s="98">
        <v>1796</v>
      </c>
      <c r="D29" s="99">
        <v>1186</v>
      </c>
      <c r="E29" s="99">
        <v>222</v>
      </c>
      <c r="F29" s="99">
        <v>444</v>
      </c>
      <c r="G29" s="100">
        <v>59</v>
      </c>
    </row>
    <row r="30" spans="1:7" x14ac:dyDescent="0.35">
      <c r="A30" s="96" t="s">
        <v>65</v>
      </c>
      <c r="B30" s="97">
        <v>8870</v>
      </c>
      <c r="C30" s="98">
        <v>2492</v>
      </c>
      <c r="D30" s="99">
        <v>2247</v>
      </c>
      <c r="E30" s="99">
        <v>1020</v>
      </c>
      <c r="F30" s="99">
        <v>3095</v>
      </c>
      <c r="G30" s="100">
        <v>64</v>
      </c>
    </row>
    <row r="31" spans="1:7" x14ac:dyDescent="0.35">
      <c r="A31" s="96" t="s">
        <v>66</v>
      </c>
      <c r="B31" s="97">
        <v>1330</v>
      </c>
      <c r="C31" s="98">
        <v>458</v>
      </c>
      <c r="D31" s="99">
        <v>321</v>
      </c>
      <c r="E31" s="99">
        <v>247</v>
      </c>
      <c r="F31" s="99">
        <v>305</v>
      </c>
      <c r="G31" s="100">
        <v>4</v>
      </c>
    </row>
    <row r="32" spans="1:7" x14ac:dyDescent="0.35">
      <c r="A32" s="96" t="s">
        <v>67</v>
      </c>
      <c r="B32" s="97">
        <v>2884</v>
      </c>
      <c r="C32" s="98">
        <v>925</v>
      </c>
      <c r="D32" s="99">
        <v>687</v>
      </c>
      <c r="E32" s="99">
        <v>264</v>
      </c>
      <c r="F32" s="99">
        <v>1018</v>
      </c>
      <c r="G32" s="100">
        <v>9</v>
      </c>
    </row>
    <row r="33" spans="1:7" x14ac:dyDescent="0.35">
      <c r="A33" s="96" t="s">
        <v>68</v>
      </c>
      <c r="B33" s="97">
        <v>2089</v>
      </c>
      <c r="C33" s="98">
        <v>105</v>
      </c>
      <c r="D33" s="99">
        <v>68</v>
      </c>
      <c r="E33" s="99">
        <v>299</v>
      </c>
      <c r="F33" s="99">
        <v>1623</v>
      </c>
      <c r="G33" s="100" t="s">
        <v>97</v>
      </c>
    </row>
    <row r="34" spans="1:7" x14ac:dyDescent="0.35">
      <c r="A34" s="96" t="s">
        <v>69</v>
      </c>
      <c r="B34" s="97">
        <v>1351</v>
      </c>
      <c r="C34" s="98">
        <v>253</v>
      </c>
      <c r="D34" s="99">
        <v>116</v>
      </c>
      <c r="E34" s="99">
        <v>374</v>
      </c>
      <c r="F34" s="99">
        <v>633</v>
      </c>
      <c r="G34" s="100" t="s">
        <v>97</v>
      </c>
    </row>
    <row r="35" spans="1:7" x14ac:dyDescent="0.35">
      <c r="A35" s="96" t="s">
        <v>70</v>
      </c>
      <c r="B35" s="97">
        <v>9548</v>
      </c>
      <c r="C35" s="98">
        <v>1433</v>
      </c>
      <c r="D35" s="99">
        <v>543</v>
      </c>
      <c r="E35" s="99">
        <v>679</v>
      </c>
      <c r="F35" s="99">
        <v>6931</v>
      </c>
      <c r="G35" s="100">
        <v>2</v>
      </c>
    </row>
    <row r="36" spans="1:7" x14ac:dyDescent="0.35">
      <c r="A36" s="96" t="s">
        <v>71</v>
      </c>
      <c r="B36" s="97">
        <v>1361</v>
      </c>
      <c r="C36" s="98">
        <v>406</v>
      </c>
      <c r="D36" s="99">
        <v>39</v>
      </c>
      <c r="E36" s="99">
        <v>203</v>
      </c>
      <c r="F36" s="99">
        <v>716</v>
      </c>
      <c r="G36" s="100">
        <v>8</v>
      </c>
    </row>
    <row r="37" spans="1:7" x14ac:dyDescent="0.35">
      <c r="A37" s="96" t="s">
        <v>72</v>
      </c>
      <c r="B37" s="97">
        <v>21127</v>
      </c>
      <c r="C37" s="98">
        <v>953</v>
      </c>
      <c r="D37" s="99">
        <v>2407</v>
      </c>
      <c r="E37" s="99">
        <v>3863</v>
      </c>
      <c r="F37" s="99">
        <v>13968</v>
      </c>
      <c r="G37" s="100">
        <v>18</v>
      </c>
    </row>
    <row r="38" spans="1:7" x14ac:dyDescent="0.35">
      <c r="A38" s="96" t="s">
        <v>73</v>
      </c>
      <c r="B38" s="97">
        <v>10512</v>
      </c>
      <c r="C38" s="98">
        <v>3024</v>
      </c>
      <c r="D38" s="99">
        <v>1145</v>
      </c>
      <c r="E38" s="99">
        <v>2106</v>
      </c>
      <c r="F38" s="99">
        <v>4175</v>
      </c>
      <c r="G38" s="100">
        <v>158</v>
      </c>
    </row>
    <row r="39" spans="1:7" x14ac:dyDescent="0.35">
      <c r="A39" s="96" t="s">
        <v>74</v>
      </c>
      <c r="B39" s="97">
        <v>1027</v>
      </c>
      <c r="C39" s="98">
        <v>365</v>
      </c>
      <c r="D39" s="99">
        <v>32</v>
      </c>
      <c r="E39" s="99">
        <v>244</v>
      </c>
      <c r="F39" s="99">
        <v>390</v>
      </c>
      <c r="G39" s="100">
        <v>2</v>
      </c>
    </row>
    <row r="40" spans="1:7" x14ac:dyDescent="0.35">
      <c r="A40" s="96" t="s">
        <v>75</v>
      </c>
      <c r="B40" s="97">
        <v>14768</v>
      </c>
      <c r="C40" s="98">
        <v>1652</v>
      </c>
      <c r="D40" s="99">
        <v>1086</v>
      </c>
      <c r="E40" s="99">
        <v>2194</v>
      </c>
      <c r="F40" s="99">
        <v>9830</v>
      </c>
      <c r="G40" s="100">
        <v>85</v>
      </c>
    </row>
    <row r="41" spans="1:7" x14ac:dyDescent="0.35">
      <c r="A41" s="96" t="s">
        <v>167</v>
      </c>
      <c r="B41" s="97">
        <v>4204</v>
      </c>
      <c r="C41" s="98">
        <v>1195</v>
      </c>
      <c r="D41" s="99">
        <v>1622</v>
      </c>
      <c r="E41" s="99">
        <v>559</v>
      </c>
      <c r="F41" s="99">
        <v>862</v>
      </c>
      <c r="G41" s="100">
        <v>23</v>
      </c>
    </row>
    <row r="42" spans="1:7" x14ac:dyDescent="0.35">
      <c r="A42" s="96" t="s">
        <v>77</v>
      </c>
      <c r="B42" s="97">
        <v>4427</v>
      </c>
      <c r="C42" s="98">
        <v>847</v>
      </c>
      <c r="D42" s="99">
        <v>167</v>
      </c>
      <c r="E42" s="99">
        <v>1347</v>
      </c>
      <c r="F42" s="99">
        <v>2076</v>
      </c>
      <c r="G42" s="100">
        <v>8</v>
      </c>
    </row>
    <row r="43" spans="1:7" x14ac:dyDescent="0.35">
      <c r="A43" s="96" t="s">
        <v>78</v>
      </c>
      <c r="B43" s="97">
        <v>15451</v>
      </c>
      <c r="C43" s="98">
        <v>3434</v>
      </c>
      <c r="D43" s="99">
        <v>1352</v>
      </c>
      <c r="E43" s="99">
        <v>2482</v>
      </c>
      <c r="F43" s="99">
        <v>8168</v>
      </c>
      <c r="G43" s="100">
        <v>118</v>
      </c>
    </row>
    <row r="44" spans="1:7" x14ac:dyDescent="0.35">
      <c r="A44" s="96" t="s">
        <v>79</v>
      </c>
      <c r="B44" s="97">
        <v>641</v>
      </c>
      <c r="C44" s="98">
        <v>130</v>
      </c>
      <c r="D44" s="99">
        <v>159</v>
      </c>
      <c r="E44" s="99">
        <v>300</v>
      </c>
      <c r="F44" s="99">
        <v>48</v>
      </c>
      <c r="G44" s="100">
        <v>7</v>
      </c>
    </row>
    <row r="45" spans="1:7" x14ac:dyDescent="0.35">
      <c r="A45" s="96" t="s">
        <v>80</v>
      </c>
      <c r="B45" s="97">
        <v>1569</v>
      </c>
      <c r="C45" s="98">
        <v>299</v>
      </c>
      <c r="D45" s="99">
        <v>221</v>
      </c>
      <c r="E45" s="99">
        <v>342</v>
      </c>
      <c r="F45" s="99">
        <v>713</v>
      </c>
      <c r="G45" s="100" t="s">
        <v>97</v>
      </c>
    </row>
    <row r="46" spans="1:7" x14ac:dyDescent="0.35">
      <c r="A46" s="96" t="s">
        <v>168</v>
      </c>
      <c r="B46" s="97">
        <v>4673</v>
      </c>
      <c r="C46" s="98">
        <v>1595</v>
      </c>
      <c r="D46" s="99">
        <v>447</v>
      </c>
      <c r="E46" s="99">
        <v>855</v>
      </c>
      <c r="F46" s="99">
        <v>1755</v>
      </c>
      <c r="G46" s="100">
        <v>52</v>
      </c>
    </row>
    <row r="47" spans="1:7" x14ac:dyDescent="0.35">
      <c r="A47" s="96" t="s">
        <v>83</v>
      </c>
      <c r="B47" s="97">
        <v>1262</v>
      </c>
      <c r="C47" s="98">
        <v>404</v>
      </c>
      <c r="D47" s="99">
        <v>226</v>
      </c>
      <c r="E47" s="99">
        <v>219</v>
      </c>
      <c r="F47" s="99">
        <v>415</v>
      </c>
      <c r="G47" s="100">
        <v>7</v>
      </c>
    </row>
    <row r="48" spans="1:7" x14ac:dyDescent="0.35">
      <c r="A48" s="96" t="s">
        <v>84</v>
      </c>
      <c r="B48" s="97">
        <v>8546</v>
      </c>
      <c r="C48" s="98">
        <v>3381</v>
      </c>
      <c r="D48" s="99">
        <v>2563</v>
      </c>
      <c r="E48" s="99">
        <v>923</v>
      </c>
      <c r="F48" s="99">
        <v>1699</v>
      </c>
      <c r="G48" s="100">
        <v>61</v>
      </c>
    </row>
    <row r="49" spans="1:7" x14ac:dyDescent="0.35">
      <c r="A49" s="96" t="s">
        <v>169</v>
      </c>
      <c r="B49" s="97">
        <v>22835</v>
      </c>
      <c r="C49" s="98">
        <v>3793</v>
      </c>
      <c r="D49" s="99">
        <v>3779</v>
      </c>
      <c r="E49" s="99">
        <v>3214</v>
      </c>
      <c r="F49" s="99">
        <v>12077</v>
      </c>
      <c r="G49" s="100">
        <v>226</v>
      </c>
    </row>
    <row r="50" spans="1:7" x14ac:dyDescent="0.35">
      <c r="A50" s="96" t="s">
        <v>170</v>
      </c>
      <c r="B50" s="97">
        <v>4524</v>
      </c>
      <c r="C50" s="98">
        <v>456</v>
      </c>
      <c r="D50" s="99">
        <v>47</v>
      </c>
      <c r="E50" s="99">
        <v>2391</v>
      </c>
      <c r="F50" s="99">
        <v>1644</v>
      </c>
      <c r="G50" s="100">
        <v>1</v>
      </c>
    </row>
    <row r="51" spans="1:7" x14ac:dyDescent="0.35">
      <c r="A51" s="96" t="s">
        <v>89</v>
      </c>
      <c r="B51" s="97">
        <v>791</v>
      </c>
      <c r="C51" s="98">
        <v>127</v>
      </c>
      <c r="D51" s="99">
        <v>152</v>
      </c>
      <c r="E51" s="99">
        <v>244</v>
      </c>
      <c r="F51" s="99">
        <v>283</v>
      </c>
      <c r="G51" s="100">
        <v>2</v>
      </c>
    </row>
    <row r="52" spans="1:7" x14ac:dyDescent="0.35">
      <c r="A52" s="96" t="s">
        <v>90</v>
      </c>
      <c r="B52" s="97">
        <v>55</v>
      </c>
      <c r="C52" s="98">
        <v>17</v>
      </c>
      <c r="D52" s="99">
        <v>5</v>
      </c>
      <c r="E52" s="99">
        <v>20</v>
      </c>
      <c r="F52" s="99">
        <v>13</v>
      </c>
      <c r="G52" s="100" t="s">
        <v>97</v>
      </c>
    </row>
    <row r="53" spans="1:7" x14ac:dyDescent="0.35">
      <c r="A53" s="96" t="s">
        <v>91</v>
      </c>
      <c r="B53" s="97">
        <v>9668</v>
      </c>
      <c r="C53" s="98">
        <v>2041</v>
      </c>
      <c r="D53" s="99">
        <v>1463</v>
      </c>
      <c r="E53" s="99">
        <v>3277</v>
      </c>
      <c r="F53" s="99">
        <v>2857</v>
      </c>
      <c r="G53" s="100">
        <v>101</v>
      </c>
    </row>
    <row r="54" spans="1:7" x14ac:dyDescent="0.35">
      <c r="A54" s="96" t="s">
        <v>92</v>
      </c>
      <c r="B54" s="97">
        <v>8709</v>
      </c>
      <c r="C54" s="98">
        <v>2319</v>
      </c>
      <c r="D54" s="99">
        <v>208</v>
      </c>
      <c r="E54" s="99">
        <v>2734</v>
      </c>
      <c r="F54" s="99">
        <v>3475</v>
      </c>
      <c r="G54" s="100">
        <v>29</v>
      </c>
    </row>
    <row r="55" spans="1:7" x14ac:dyDescent="0.35">
      <c r="A55" s="96" t="s">
        <v>93</v>
      </c>
      <c r="B55" s="97">
        <v>1714</v>
      </c>
      <c r="C55" s="98">
        <v>770</v>
      </c>
      <c r="D55" s="99">
        <v>314</v>
      </c>
      <c r="E55" s="99">
        <v>143</v>
      </c>
      <c r="F55" s="99">
        <v>487</v>
      </c>
      <c r="G55" s="100">
        <v>12</v>
      </c>
    </row>
    <row r="56" spans="1:7" x14ac:dyDescent="0.35">
      <c r="A56" s="96" t="s">
        <v>94</v>
      </c>
      <c r="B56" s="97">
        <v>7734</v>
      </c>
      <c r="C56" s="98">
        <v>1738</v>
      </c>
      <c r="D56" s="99">
        <v>461</v>
      </c>
      <c r="E56" s="99">
        <v>2085</v>
      </c>
      <c r="F56" s="99">
        <v>3461</v>
      </c>
      <c r="G56" s="100">
        <v>48</v>
      </c>
    </row>
    <row r="57" spans="1:7" x14ac:dyDescent="0.35">
      <c r="A57" s="96" t="s">
        <v>95</v>
      </c>
      <c r="B57" s="97">
        <v>852</v>
      </c>
      <c r="C57" s="98">
        <v>146</v>
      </c>
      <c r="D57" s="99">
        <v>229</v>
      </c>
      <c r="E57" s="99">
        <v>211</v>
      </c>
      <c r="F57" s="99">
        <v>271</v>
      </c>
      <c r="G57" s="100">
        <v>3</v>
      </c>
    </row>
    <row r="58" spans="1:7" ht="19" thickBot="1" x14ac:dyDescent="0.4">
      <c r="A58" s="101" t="s">
        <v>96</v>
      </c>
      <c r="B58" s="102">
        <v>354052</v>
      </c>
      <c r="C58" s="103">
        <v>72636</v>
      </c>
      <c r="D58" s="104">
        <v>45320</v>
      </c>
      <c r="E58" s="104">
        <v>65356</v>
      </c>
      <c r="F58" s="104">
        <v>172235</v>
      </c>
      <c r="G58" s="105">
        <v>2033</v>
      </c>
    </row>
    <row r="59" spans="1:7" x14ac:dyDescent="0.35">
      <c r="A59" s="106"/>
      <c r="B59" s="107"/>
      <c r="C59" s="106"/>
      <c r="D59" s="106"/>
      <c r="E59" s="106"/>
      <c r="F59" s="106"/>
      <c r="G59" s="106"/>
    </row>
    <row r="60" spans="1:7" x14ac:dyDescent="0.35">
      <c r="A60" s="144" t="s">
        <v>98</v>
      </c>
      <c r="B60" s="144"/>
      <c r="C60" s="144"/>
      <c r="D60" s="144"/>
      <c r="E60" s="144"/>
      <c r="F60" s="144"/>
      <c r="G60" s="144"/>
    </row>
    <row r="61" spans="1:7" x14ac:dyDescent="0.35">
      <c r="A61" s="106" t="s">
        <v>171</v>
      </c>
      <c r="B61" s="107"/>
      <c r="C61" s="106"/>
      <c r="D61" s="106"/>
      <c r="E61" s="106"/>
      <c r="F61" s="106"/>
      <c r="G61" s="106"/>
    </row>
    <row r="62" spans="1:7" x14ac:dyDescent="0.35">
      <c r="A62" s="108" t="s">
        <v>172</v>
      </c>
      <c r="B62" s="107"/>
      <c r="C62" s="106"/>
      <c r="D62" s="106"/>
      <c r="E62" s="106"/>
      <c r="F62" s="106"/>
      <c r="G62" s="106"/>
    </row>
    <row r="63" spans="1:7" x14ac:dyDescent="0.35">
      <c r="A63" s="108" t="s">
        <v>173</v>
      </c>
      <c r="B63" s="107"/>
      <c r="C63" s="106"/>
      <c r="D63" s="106"/>
      <c r="E63" s="106"/>
      <c r="F63" s="106"/>
      <c r="G63" s="106"/>
    </row>
    <row r="64" spans="1:7" x14ac:dyDescent="0.35">
      <c r="A64" s="108" t="s">
        <v>174</v>
      </c>
      <c r="B64" s="107"/>
      <c r="C64" s="106"/>
      <c r="D64" s="106"/>
      <c r="E64" s="106"/>
      <c r="F64" s="106"/>
      <c r="G64" s="106"/>
    </row>
    <row r="65" spans="1:39" x14ac:dyDescent="0.35">
      <c r="A65" s="108" t="s">
        <v>175</v>
      </c>
      <c r="B65" s="107"/>
      <c r="C65" s="106"/>
      <c r="D65" s="106"/>
      <c r="E65" s="106"/>
      <c r="F65" s="106"/>
      <c r="G65" s="106"/>
    </row>
    <row r="66" spans="1:39" x14ac:dyDescent="0.35">
      <c r="A66" s="108" t="s">
        <v>176</v>
      </c>
      <c r="B66" s="107"/>
      <c r="C66" s="106"/>
      <c r="D66" s="106"/>
      <c r="E66" s="106"/>
      <c r="F66" s="106"/>
      <c r="G66" s="106"/>
    </row>
    <row r="68" spans="1:39" ht="15" thickBot="1" x14ac:dyDescent="0.4">
      <c r="I68" s="145"/>
      <c r="J68" s="146"/>
      <c r="K68" s="146"/>
      <c r="L68" s="146"/>
      <c r="M68" s="147"/>
      <c r="N68" s="147"/>
      <c r="O68" s="147"/>
      <c r="P68" s="147"/>
      <c r="Q68" s="147"/>
      <c r="R68" s="147"/>
      <c r="S68" s="147"/>
      <c r="T68" s="147"/>
      <c r="U68" s="147"/>
      <c r="V68" s="147"/>
      <c r="W68" s="147"/>
      <c r="X68" s="147"/>
      <c r="Y68" s="147"/>
      <c r="Z68" s="147"/>
      <c r="AA68" s="147"/>
      <c r="AB68" s="147"/>
      <c r="AC68" s="147"/>
      <c r="AD68" s="147"/>
      <c r="AE68" s="147"/>
      <c r="AF68" s="147"/>
      <c r="AG68" s="147"/>
      <c r="AH68" s="147"/>
      <c r="AI68" s="147"/>
      <c r="AJ68" s="147"/>
      <c r="AK68" s="147"/>
      <c r="AL68" s="147"/>
      <c r="AM68" s="147"/>
    </row>
    <row r="69" spans="1:39" x14ac:dyDescent="0.35">
      <c r="I69" s="148"/>
      <c r="J69" s="146"/>
      <c r="K69" s="146"/>
      <c r="L69" s="146"/>
      <c r="M69" s="147"/>
      <c r="N69" s="147"/>
      <c r="O69" s="147"/>
      <c r="P69" s="147"/>
      <c r="Q69" s="147"/>
      <c r="R69" s="147"/>
      <c r="S69" s="147"/>
      <c r="T69" s="147"/>
      <c r="U69" s="147"/>
      <c r="V69" s="147"/>
      <c r="W69" s="147"/>
      <c r="X69" s="147"/>
      <c r="Y69" s="147"/>
      <c r="Z69" s="147"/>
      <c r="AA69" s="147"/>
      <c r="AB69" s="147"/>
      <c r="AC69" s="147"/>
      <c r="AD69" s="147"/>
      <c r="AE69" s="147"/>
      <c r="AF69" s="147"/>
      <c r="AG69" s="147"/>
      <c r="AH69" s="147"/>
      <c r="AI69" s="147"/>
      <c r="AJ69" s="147"/>
      <c r="AK69" s="147"/>
      <c r="AL69" s="147"/>
      <c r="AM69" s="147"/>
    </row>
    <row r="70" spans="1:39" x14ac:dyDescent="0.35">
      <c r="I70" s="149"/>
      <c r="J70" s="150"/>
      <c r="K70" s="150"/>
      <c r="L70" s="151"/>
      <c r="M70" s="150"/>
      <c r="N70" s="150"/>
      <c r="O70" s="151"/>
      <c r="P70" s="150"/>
      <c r="Q70" s="150"/>
      <c r="R70" s="151"/>
      <c r="S70" s="150"/>
      <c r="T70" s="150"/>
      <c r="U70" s="151"/>
      <c r="V70" s="150"/>
      <c r="W70" s="150"/>
      <c r="X70" s="151"/>
      <c r="Y70" s="150"/>
      <c r="Z70" s="150"/>
      <c r="AA70" s="151"/>
      <c r="AB70" s="150"/>
      <c r="AC70" s="150"/>
      <c r="AD70" s="151"/>
      <c r="AE70" s="150"/>
      <c r="AF70" s="150"/>
      <c r="AG70" s="151"/>
      <c r="AH70" s="150"/>
      <c r="AI70" s="150"/>
      <c r="AJ70" s="151"/>
      <c r="AK70" s="150"/>
      <c r="AL70" s="150"/>
      <c r="AM70" s="151"/>
    </row>
    <row r="71" spans="1:39" x14ac:dyDescent="0.35">
      <c r="I71" s="152"/>
      <c r="J71" s="150"/>
      <c r="K71" s="150"/>
      <c r="L71" s="151"/>
      <c r="M71" s="153"/>
      <c r="N71" s="153"/>
      <c r="O71" s="153"/>
      <c r="P71" s="154"/>
      <c r="Q71" s="154"/>
      <c r="R71" s="155"/>
      <c r="S71" s="154"/>
      <c r="T71" s="154"/>
      <c r="U71" s="155"/>
      <c r="V71" s="153"/>
      <c r="W71" s="153"/>
      <c r="X71" s="153"/>
      <c r="Y71" s="154"/>
      <c r="Z71" s="154"/>
      <c r="AA71" s="155"/>
      <c r="AB71" s="154"/>
      <c r="AC71" s="154"/>
      <c r="AD71" s="155"/>
      <c r="AE71" s="153"/>
      <c r="AF71" s="153"/>
      <c r="AG71" s="153"/>
      <c r="AH71" s="153"/>
      <c r="AI71" s="153"/>
      <c r="AJ71" s="153"/>
      <c r="AK71" s="153"/>
      <c r="AL71" s="153"/>
      <c r="AM71" s="153"/>
    </row>
    <row r="72" spans="1:39" x14ac:dyDescent="0.35">
      <c r="I72" s="152"/>
      <c r="J72" s="150"/>
      <c r="K72" s="150"/>
      <c r="L72" s="151"/>
      <c r="M72" s="154"/>
      <c r="N72" s="154"/>
      <c r="O72" s="155"/>
      <c r="P72" s="154"/>
      <c r="Q72" s="154"/>
      <c r="R72" s="155"/>
      <c r="S72" s="154"/>
      <c r="T72" s="154"/>
      <c r="U72" s="155"/>
      <c r="V72" s="153"/>
      <c r="W72" s="153"/>
      <c r="X72" s="153"/>
      <c r="Y72" s="154"/>
      <c r="Z72" s="154"/>
      <c r="AA72" s="155"/>
      <c r="AB72" s="154"/>
      <c r="AC72" s="154"/>
      <c r="AD72" s="155"/>
      <c r="AE72" s="153"/>
      <c r="AF72" s="153"/>
      <c r="AG72" s="153"/>
      <c r="AH72" s="154"/>
      <c r="AI72" s="154"/>
      <c r="AJ72" s="155"/>
      <c r="AK72" s="154"/>
      <c r="AL72" s="154"/>
      <c r="AM72" s="155"/>
    </row>
    <row r="73" spans="1:39" x14ac:dyDescent="0.35">
      <c r="I73" s="152"/>
      <c r="J73" s="150"/>
      <c r="K73" s="150"/>
      <c r="L73" s="151"/>
      <c r="M73" s="153"/>
      <c r="N73" s="153"/>
      <c r="O73" s="153"/>
      <c r="P73" s="154"/>
      <c r="Q73" s="154"/>
      <c r="R73" s="155"/>
      <c r="S73" s="154"/>
      <c r="T73" s="154"/>
      <c r="U73" s="155"/>
      <c r="V73" s="153"/>
      <c r="W73" s="153"/>
      <c r="X73" s="153"/>
      <c r="Y73" s="154"/>
      <c r="Z73" s="154"/>
      <c r="AA73" s="155"/>
      <c r="AB73" s="154"/>
      <c r="AC73" s="154"/>
      <c r="AD73" s="155"/>
      <c r="AE73" s="153"/>
      <c r="AF73" s="153"/>
      <c r="AG73" s="153"/>
      <c r="AH73" s="153"/>
      <c r="AI73" s="153"/>
      <c r="AJ73" s="153"/>
      <c r="AK73" s="153"/>
      <c r="AL73" s="153"/>
      <c r="AM73" s="153"/>
    </row>
    <row r="74" spans="1:39" x14ac:dyDescent="0.35">
      <c r="I74" s="152"/>
      <c r="J74" s="150"/>
      <c r="K74" s="150"/>
      <c r="L74" s="151"/>
      <c r="M74" s="153"/>
      <c r="N74" s="153"/>
      <c r="O74" s="153"/>
      <c r="P74" s="154"/>
      <c r="Q74" s="154"/>
      <c r="R74" s="155"/>
      <c r="S74" s="154"/>
      <c r="T74" s="154"/>
      <c r="U74" s="155"/>
      <c r="V74" s="153"/>
      <c r="W74" s="153"/>
      <c r="X74" s="153"/>
      <c r="Y74" s="154"/>
      <c r="Z74" s="154"/>
      <c r="AA74" s="155"/>
      <c r="AB74" s="154"/>
      <c r="AC74" s="154"/>
      <c r="AD74" s="155"/>
      <c r="AE74" s="153"/>
      <c r="AF74" s="153"/>
      <c r="AG74" s="153"/>
      <c r="AH74" s="153"/>
      <c r="AI74" s="153"/>
      <c r="AJ74" s="153"/>
      <c r="AK74" s="154"/>
      <c r="AL74" s="154"/>
      <c r="AM74" s="155"/>
    </row>
    <row r="75" spans="1:39" x14ac:dyDescent="0.35">
      <c r="I75" s="152"/>
      <c r="J75" s="150"/>
      <c r="K75" s="150"/>
      <c r="L75" s="151"/>
      <c r="M75" s="154"/>
      <c r="N75" s="154"/>
      <c r="O75" s="155"/>
      <c r="P75" s="154"/>
      <c r="Q75" s="154"/>
      <c r="R75" s="155"/>
      <c r="S75" s="154"/>
      <c r="T75" s="154"/>
      <c r="U75" s="155"/>
      <c r="V75" s="153"/>
      <c r="W75" s="153"/>
      <c r="X75" s="153"/>
      <c r="Y75" s="154"/>
      <c r="Z75" s="154"/>
      <c r="AA75" s="155"/>
      <c r="AB75" s="154"/>
      <c r="AC75" s="154"/>
      <c r="AD75" s="155"/>
      <c r="AE75" s="153"/>
      <c r="AF75" s="153"/>
      <c r="AG75" s="153"/>
      <c r="AH75" s="153"/>
      <c r="AI75" s="153"/>
      <c r="AJ75" s="153"/>
      <c r="AK75" s="153"/>
      <c r="AL75" s="153"/>
      <c r="AM75" s="153"/>
    </row>
    <row r="76" spans="1:39" x14ac:dyDescent="0.35">
      <c r="I76" s="152"/>
      <c r="J76" s="150"/>
      <c r="K76" s="150"/>
      <c r="L76" s="151"/>
      <c r="M76" s="154"/>
      <c r="N76" s="154"/>
      <c r="O76" s="155"/>
      <c r="P76" s="154"/>
      <c r="Q76" s="154"/>
      <c r="R76" s="155"/>
      <c r="S76" s="154"/>
      <c r="T76" s="154"/>
      <c r="U76" s="155"/>
      <c r="V76" s="154"/>
      <c r="W76" s="154"/>
      <c r="X76" s="155"/>
      <c r="Y76" s="154"/>
      <c r="Z76" s="154"/>
      <c r="AA76" s="155"/>
      <c r="AB76" s="154"/>
      <c r="AC76" s="154"/>
      <c r="AD76" s="155"/>
      <c r="AE76" s="153"/>
      <c r="AF76" s="153"/>
      <c r="AG76" s="153"/>
      <c r="AH76" s="153"/>
      <c r="AI76" s="153"/>
      <c r="AJ76" s="153"/>
      <c r="AK76" s="154"/>
      <c r="AL76" s="154"/>
      <c r="AM76" s="155"/>
    </row>
    <row r="77" spans="1:39" x14ac:dyDescent="0.35">
      <c r="I77" s="152"/>
      <c r="J77" s="150"/>
      <c r="K77" s="150"/>
      <c r="L77" s="151"/>
      <c r="M77" s="154"/>
      <c r="N77" s="154"/>
      <c r="O77" s="155"/>
      <c r="P77" s="154"/>
      <c r="Q77" s="154"/>
      <c r="R77" s="155"/>
      <c r="S77" s="154"/>
      <c r="T77" s="154"/>
      <c r="U77" s="155"/>
      <c r="V77" s="153"/>
      <c r="W77" s="153"/>
      <c r="X77" s="153"/>
      <c r="Y77" s="154"/>
      <c r="Z77" s="154"/>
      <c r="AA77" s="155"/>
      <c r="AB77" s="154"/>
      <c r="AC77" s="154"/>
      <c r="AD77" s="155"/>
      <c r="AE77" s="153"/>
      <c r="AF77" s="153"/>
      <c r="AG77" s="153"/>
      <c r="AH77" s="153"/>
      <c r="AI77" s="153"/>
      <c r="AJ77" s="153"/>
      <c r="AK77" s="153"/>
      <c r="AL77" s="153"/>
      <c r="AM77" s="153"/>
    </row>
    <row r="78" spans="1:39" x14ac:dyDescent="0.35">
      <c r="I78" s="152"/>
      <c r="J78" s="150"/>
      <c r="K78" s="150"/>
      <c r="L78" s="151"/>
      <c r="M78" s="154"/>
      <c r="N78" s="154"/>
      <c r="O78" s="155"/>
      <c r="P78" s="154"/>
      <c r="Q78" s="154"/>
      <c r="R78" s="155"/>
      <c r="S78" s="154"/>
      <c r="T78" s="154"/>
      <c r="U78" s="155"/>
      <c r="V78" s="153"/>
      <c r="W78" s="153"/>
      <c r="X78" s="153"/>
      <c r="Y78" s="154"/>
      <c r="Z78" s="154"/>
      <c r="AA78" s="155"/>
      <c r="AB78" s="154"/>
      <c r="AC78" s="154"/>
      <c r="AD78" s="155"/>
      <c r="AE78" s="154"/>
      <c r="AF78" s="154"/>
      <c r="AG78" s="155"/>
      <c r="AH78" s="153"/>
      <c r="AI78" s="153"/>
      <c r="AJ78" s="153"/>
      <c r="AK78" s="153"/>
      <c r="AL78" s="153"/>
      <c r="AM78" s="153"/>
    </row>
    <row r="79" spans="1:39" x14ac:dyDescent="0.35">
      <c r="I79" s="152"/>
      <c r="J79" s="150"/>
      <c r="K79" s="150"/>
      <c r="L79" s="151"/>
      <c r="M79" s="154"/>
      <c r="N79" s="154"/>
      <c r="O79" s="155"/>
      <c r="P79" s="154"/>
      <c r="Q79" s="154"/>
      <c r="R79" s="155"/>
      <c r="S79" s="154"/>
      <c r="T79" s="154"/>
      <c r="U79" s="155"/>
      <c r="V79" s="153"/>
      <c r="W79" s="153"/>
      <c r="X79" s="153"/>
      <c r="Y79" s="154"/>
      <c r="Z79" s="154"/>
      <c r="AA79" s="155"/>
      <c r="AB79" s="154"/>
      <c r="AC79" s="154"/>
      <c r="AD79" s="155"/>
      <c r="AE79" s="153"/>
      <c r="AF79" s="153"/>
      <c r="AG79" s="153"/>
      <c r="AH79" s="153"/>
      <c r="AI79" s="153"/>
      <c r="AJ79" s="153"/>
      <c r="AK79" s="153"/>
      <c r="AL79" s="153"/>
      <c r="AM79" s="153"/>
    </row>
    <row r="80" spans="1:39" x14ac:dyDescent="0.35">
      <c r="I80" s="152"/>
      <c r="J80" s="150"/>
      <c r="K80" s="150"/>
      <c r="L80" s="151"/>
      <c r="M80" s="153"/>
      <c r="N80" s="153"/>
      <c r="O80" s="153"/>
      <c r="P80" s="154"/>
      <c r="Q80" s="154"/>
      <c r="R80" s="155"/>
      <c r="S80" s="154"/>
      <c r="T80" s="154"/>
      <c r="U80" s="155"/>
      <c r="V80" s="153"/>
      <c r="W80" s="153"/>
      <c r="X80" s="153"/>
      <c r="Y80" s="154"/>
      <c r="Z80" s="154"/>
      <c r="AA80" s="155"/>
      <c r="AB80" s="154"/>
      <c r="AC80" s="154"/>
      <c r="AD80" s="155"/>
      <c r="AE80" s="153"/>
      <c r="AF80" s="153"/>
      <c r="AG80" s="153"/>
      <c r="AH80" s="153"/>
      <c r="AI80" s="153"/>
      <c r="AJ80" s="153"/>
      <c r="AK80" s="153"/>
      <c r="AL80" s="153"/>
      <c r="AM80" s="153"/>
    </row>
    <row r="81" spans="9:39" x14ac:dyDescent="0.35">
      <c r="I81" s="152"/>
      <c r="J81" s="150"/>
      <c r="K81" s="150"/>
      <c r="L81" s="151"/>
      <c r="M81" s="154"/>
      <c r="N81" s="154"/>
      <c r="O81" s="155"/>
      <c r="P81" s="154"/>
      <c r="Q81" s="154"/>
      <c r="R81" s="155"/>
      <c r="S81" s="154"/>
      <c r="T81" s="154"/>
      <c r="U81" s="155"/>
      <c r="V81" s="154"/>
      <c r="W81" s="154"/>
      <c r="X81" s="155"/>
      <c r="Y81" s="154"/>
      <c r="Z81" s="154"/>
      <c r="AA81" s="155"/>
      <c r="AB81" s="154"/>
      <c r="AC81" s="154"/>
      <c r="AD81" s="155"/>
      <c r="AE81" s="153"/>
      <c r="AF81" s="153"/>
      <c r="AG81" s="153"/>
      <c r="AH81" s="153"/>
      <c r="AI81" s="153"/>
      <c r="AJ81" s="153"/>
      <c r="AK81" s="153"/>
      <c r="AL81" s="153"/>
      <c r="AM81" s="153"/>
    </row>
    <row r="82" spans="9:39" x14ac:dyDescent="0.35">
      <c r="I82" s="152"/>
      <c r="J82" s="150"/>
      <c r="K82" s="150"/>
      <c r="L82" s="151"/>
      <c r="M82" s="154"/>
      <c r="N82" s="154"/>
      <c r="O82" s="155"/>
      <c r="P82" s="154"/>
      <c r="Q82" s="154"/>
      <c r="R82" s="155"/>
      <c r="S82" s="154"/>
      <c r="T82" s="154"/>
      <c r="U82" s="155"/>
      <c r="V82" s="153"/>
      <c r="W82" s="153"/>
      <c r="X82" s="153"/>
      <c r="Y82" s="154"/>
      <c r="Z82" s="154"/>
      <c r="AA82" s="155"/>
      <c r="AB82" s="154"/>
      <c r="AC82" s="154"/>
      <c r="AD82" s="155"/>
      <c r="AE82" s="153"/>
      <c r="AF82" s="153"/>
      <c r="AG82" s="153"/>
      <c r="AH82" s="153"/>
      <c r="AI82" s="153"/>
      <c r="AJ82" s="153"/>
      <c r="AK82" s="154"/>
      <c r="AL82" s="154"/>
      <c r="AM82" s="155"/>
    </row>
    <row r="83" spans="9:39" x14ac:dyDescent="0.35">
      <c r="I83" s="152"/>
      <c r="J83" s="150"/>
      <c r="K83" s="150"/>
      <c r="L83" s="151"/>
      <c r="M83" s="153"/>
      <c r="N83" s="153"/>
      <c r="O83" s="153"/>
      <c r="P83" s="154"/>
      <c r="Q83" s="154"/>
      <c r="R83" s="155"/>
      <c r="S83" s="154"/>
      <c r="T83" s="154"/>
      <c r="U83" s="155"/>
      <c r="V83" s="153"/>
      <c r="W83" s="153"/>
      <c r="X83" s="153"/>
      <c r="Y83" s="154"/>
      <c r="Z83" s="154"/>
      <c r="AA83" s="155"/>
      <c r="AB83" s="154"/>
      <c r="AC83" s="154"/>
      <c r="AD83" s="155"/>
      <c r="AE83" s="153"/>
      <c r="AF83" s="153"/>
      <c r="AG83" s="153"/>
      <c r="AH83" s="153"/>
      <c r="AI83" s="153"/>
      <c r="AJ83" s="153"/>
      <c r="AK83" s="153"/>
      <c r="AL83" s="153"/>
      <c r="AM83" s="153"/>
    </row>
    <row r="84" spans="9:39" x14ac:dyDescent="0.35">
      <c r="I84" s="152"/>
      <c r="J84" s="150"/>
      <c r="K84" s="150"/>
      <c r="L84" s="151"/>
      <c r="M84" s="153"/>
      <c r="N84" s="153"/>
      <c r="O84" s="153"/>
      <c r="P84" s="154"/>
      <c r="Q84" s="154"/>
      <c r="R84" s="155"/>
      <c r="S84" s="154"/>
      <c r="T84" s="154"/>
      <c r="U84" s="155"/>
      <c r="V84" s="153"/>
      <c r="W84" s="153"/>
      <c r="X84" s="153"/>
      <c r="Y84" s="154"/>
      <c r="Z84" s="154"/>
      <c r="AA84" s="155"/>
      <c r="AB84" s="154"/>
      <c r="AC84" s="154"/>
      <c r="AD84" s="155"/>
      <c r="AE84" s="153"/>
      <c r="AF84" s="153"/>
      <c r="AG84" s="153"/>
      <c r="AH84" s="153"/>
      <c r="AI84" s="153"/>
      <c r="AJ84" s="153"/>
      <c r="AK84" s="153"/>
      <c r="AL84" s="153"/>
      <c r="AM84" s="153"/>
    </row>
    <row r="85" spans="9:39" x14ac:dyDescent="0.35">
      <c r="I85" s="152"/>
      <c r="J85" s="150"/>
      <c r="K85" s="150"/>
      <c r="L85" s="151"/>
      <c r="M85" s="154"/>
      <c r="N85" s="154"/>
      <c r="O85" s="155"/>
      <c r="P85" s="154"/>
      <c r="Q85" s="154"/>
      <c r="R85" s="155"/>
      <c r="S85" s="154"/>
      <c r="T85" s="154"/>
      <c r="U85" s="155"/>
      <c r="V85" s="153"/>
      <c r="W85" s="153"/>
      <c r="X85" s="153"/>
      <c r="Y85" s="154"/>
      <c r="Z85" s="154"/>
      <c r="AA85" s="155"/>
      <c r="AB85" s="154"/>
      <c r="AC85" s="154"/>
      <c r="AD85" s="155"/>
      <c r="AE85" s="153"/>
      <c r="AF85" s="153"/>
      <c r="AG85" s="153"/>
      <c r="AH85" s="153"/>
      <c r="AI85" s="153"/>
      <c r="AJ85" s="153"/>
      <c r="AK85" s="154"/>
      <c r="AL85" s="154"/>
      <c r="AM85" s="155"/>
    </row>
    <row r="86" spans="9:39" x14ac:dyDescent="0.35">
      <c r="I86" s="152"/>
      <c r="J86" s="150"/>
      <c r="K86" s="150"/>
      <c r="L86" s="151"/>
      <c r="M86" s="154"/>
      <c r="N86" s="154"/>
      <c r="O86" s="155"/>
      <c r="P86" s="154"/>
      <c r="Q86" s="154"/>
      <c r="R86" s="155"/>
      <c r="S86" s="154"/>
      <c r="T86" s="154"/>
      <c r="U86" s="155"/>
      <c r="V86" s="153"/>
      <c r="W86" s="153"/>
      <c r="X86" s="153"/>
      <c r="Y86" s="154"/>
      <c r="Z86" s="154"/>
      <c r="AA86" s="155"/>
      <c r="AB86" s="154"/>
      <c r="AC86" s="154"/>
      <c r="AD86" s="155"/>
      <c r="AE86" s="153"/>
      <c r="AF86" s="153"/>
      <c r="AG86" s="153"/>
      <c r="AH86" s="153"/>
      <c r="AI86" s="153"/>
      <c r="AJ86" s="153"/>
      <c r="AK86" s="154"/>
      <c r="AL86" s="154"/>
      <c r="AM86" s="155"/>
    </row>
    <row r="87" spans="9:39" x14ac:dyDescent="0.35">
      <c r="I87" s="152"/>
      <c r="J87" s="150"/>
      <c r="K87" s="150"/>
      <c r="L87" s="151"/>
      <c r="M87" s="154"/>
      <c r="N87" s="154"/>
      <c r="O87" s="155"/>
      <c r="P87" s="154"/>
      <c r="Q87" s="154"/>
      <c r="R87" s="155"/>
      <c r="S87" s="154"/>
      <c r="T87" s="154"/>
      <c r="U87" s="155"/>
      <c r="V87" s="153"/>
      <c r="W87" s="153"/>
      <c r="X87" s="153"/>
      <c r="Y87" s="154"/>
      <c r="Z87" s="154"/>
      <c r="AA87" s="155"/>
      <c r="AB87" s="154"/>
      <c r="AC87" s="154"/>
      <c r="AD87" s="155"/>
      <c r="AE87" s="153"/>
      <c r="AF87" s="153"/>
      <c r="AG87" s="153"/>
      <c r="AH87" s="153"/>
      <c r="AI87" s="153"/>
      <c r="AJ87" s="153"/>
      <c r="AK87" s="154"/>
      <c r="AL87" s="154"/>
      <c r="AM87" s="155"/>
    </row>
    <row r="88" spans="9:39" x14ac:dyDescent="0.35">
      <c r="I88" s="152"/>
      <c r="J88" s="150"/>
      <c r="K88" s="150"/>
      <c r="L88" s="151"/>
      <c r="M88" s="154"/>
      <c r="N88" s="154"/>
      <c r="O88" s="155"/>
      <c r="P88" s="154"/>
      <c r="Q88" s="154"/>
      <c r="R88" s="155"/>
      <c r="S88" s="154"/>
      <c r="T88" s="154"/>
      <c r="U88" s="155"/>
      <c r="V88" s="153"/>
      <c r="W88" s="153"/>
      <c r="X88" s="153"/>
      <c r="Y88" s="154"/>
      <c r="Z88" s="154"/>
      <c r="AA88" s="155"/>
      <c r="AB88" s="154"/>
      <c r="AC88" s="154"/>
      <c r="AD88" s="155"/>
      <c r="AE88" s="153"/>
      <c r="AF88" s="153"/>
      <c r="AG88" s="153"/>
      <c r="AH88" s="153"/>
      <c r="AI88" s="153"/>
      <c r="AJ88" s="153"/>
      <c r="AK88" s="153"/>
      <c r="AL88" s="153"/>
      <c r="AM88" s="153"/>
    </row>
    <row r="89" spans="9:39" x14ac:dyDescent="0.35">
      <c r="I89" s="152"/>
      <c r="J89" s="150"/>
      <c r="K89" s="150"/>
      <c r="L89" s="151"/>
      <c r="M89" s="154"/>
      <c r="N89" s="154"/>
      <c r="O89" s="155"/>
      <c r="P89" s="154"/>
      <c r="Q89" s="154"/>
      <c r="R89" s="155"/>
      <c r="S89" s="154"/>
      <c r="T89" s="154"/>
      <c r="U89" s="155"/>
      <c r="V89" s="153"/>
      <c r="W89" s="153"/>
      <c r="X89" s="153"/>
      <c r="Y89" s="154"/>
      <c r="Z89" s="154"/>
      <c r="AA89" s="155"/>
      <c r="AB89" s="154"/>
      <c r="AC89" s="154"/>
      <c r="AD89" s="155"/>
      <c r="AE89" s="153"/>
      <c r="AF89" s="153"/>
      <c r="AG89" s="153"/>
      <c r="AH89" s="153"/>
      <c r="AI89" s="153"/>
      <c r="AJ89" s="153"/>
      <c r="AK89" s="153"/>
      <c r="AL89" s="153"/>
      <c r="AM89" s="153"/>
    </row>
    <row r="90" spans="9:39" x14ac:dyDescent="0.35">
      <c r="I90" s="152"/>
      <c r="J90" s="150"/>
      <c r="K90" s="150"/>
      <c r="L90" s="151"/>
      <c r="M90" s="154"/>
      <c r="N90" s="154"/>
      <c r="O90" s="155"/>
      <c r="P90" s="154"/>
      <c r="Q90" s="154"/>
      <c r="R90" s="155"/>
      <c r="S90" s="154"/>
      <c r="T90" s="154"/>
      <c r="U90" s="155"/>
      <c r="V90" s="153"/>
      <c r="W90" s="153"/>
      <c r="X90" s="153"/>
      <c r="Y90" s="154"/>
      <c r="Z90" s="154"/>
      <c r="AA90" s="155"/>
      <c r="AB90" s="154"/>
      <c r="AC90" s="154"/>
      <c r="AD90" s="155"/>
      <c r="AE90" s="153"/>
      <c r="AF90" s="153"/>
      <c r="AG90" s="153"/>
      <c r="AH90" s="153"/>
      <c r="AI90" s="153"/>
      <c r="AJ90" s="153"/>
      <c r="AK90" s="153"/>
      <c r="AL90" s="153"/>
      <c r="AM90" s="153"/>
    </row>
    <row r="91" spans="9:39" x14ac:dyDescent="0.35">
      <c r="I91" s="152"/>
      <c r="J91" s="150"/>
      <c r="K91" s="150"/>
      <c r="L91" s="151"/>
      <c r="M91" s="154"/>
      <c r="N91" s="154"/>
      <c r="O91" s="155"/>
      <c r="P91" s="154"/>
      <c r="Q91" s="154"/>
      <c r="R91" s="155"/>
      <c r="S91" s="154"/>
      <c r="T91" s="154"/>
      <c r="U91" s="155"/>
      <c r="V91" s="153"/>
      <c r="W91" s="153"/>
      <c r="X91" s="153"/>
      <c r="Y91" s="154"/>
      <c r="Z91" s="154"/>
      <c r="AA91" s="155"/>
      <c r="AB91" s="154"/>
      <c r="AC91" s="154"/>
      <c r="AD91" s="155"/>
      <c r="AE91" s="153"/>
      <c r="AF91" s="153"/>
      <c r="AG91" s="153"/>
      <c r="AH91" s="153"/>
      <c r="AI91" s="153"/>
      <c r="AJ91" s="153"/>
      <c r="AK91" s="154"/>
      <c r="AL91" s="154"/>
      <c r="AM91" s="155"/>
    </row>
    <row r="92" spans="9:39" x14ac:dyDescent="0.35">
      <c r="I92" s="152"/>
      <c r="J92" s="150"/>
      <c r="K92" s="150"/>
      <c r="L92" s="151"/>
      <c r="M92" s="154"/>
      <c r="N92" s="154"/>
      <c r="O92" s="155"/>
      <c r="P92" s="154"/>
      <c r="Q92" s="154"/>
      <c r="R92" s="155"/>
      <c r="S92" s="154"/>
      <c r="T92" s="154"/>
      <c r="U92" s="155"/>
      <c r="V92" s="153"/>
      <c r="W92" s="153"/>
      <c r="X92" s="153"/>
      <c r="Y92" s="154"/>
      <c r="Z92" s="154"/>
      <c r="AA92" s="155"/>
      <c r="AB92" s="154"/>
      <c r="AC92" s="154"/>
      <c r="AD92" s="155"/>
      <c r="AE92" s="153"/>
      <c r="AF92" s="153"/>
      <c r="AG92" s="153"/>
      <c r="AH92" s="153"/>
      <c r="AI92" s="153"/>
      <c r="AJ92" s="153"/>
      <c r="AK92" s="153"/>
      <c r="AL92" s="153"/>
      <c r="AM92" s="153"/>
    </row>
    <row r="93" spans="9:39" x14ac:dyDescent="0.35">
      <c r="I93" s="152"/>
      <c r="J93" s="150"/>
      <c r="K93" s="150"/>
      <c r="L93" s="151"/>
      <c r="M93" s="154"/>
      <c r="N93" s="154"/>
      <c r="O93" s="155"/>
      <c r="P93" s="154"/>
      <c r="Q93" s="154"/>
      <c r="R93" s="155"/>
      <c r="S93" s="154"/>
      <c r="T93" s="154"/>
      <c r="U93" s="155"/>
      <c r="V93" s="153"/>
      <c r="W93" s="153"/>
      <c r="X93" s="153"/>
      <c r="Y93" s="154"/>
      <c r="Z93" s="154"/>
      <c r="AA93" s="155"/>
      <c r="AB93" s="154"/>
      <c r="AC93" s="154"/>
      <c r="AD93" s="155"/>
      <c r="AE93" s="153"/>
      <c r="AF93" s="153"/>
      <c r="AG93" s="153"/>
      <c r="AH93" s="153"/>
      <c r="AI93" s="153"/>
      <c r="AJ93" s="153"/>
      <c r="AK93" s="153"/>
      <c r="AL93" s="153"/>
      <c r="AM93" s="153"/>
    </row>
    <row r="94" spans="9:39" x14ac:dyDescent="0.35">
      <c r="I94" s="152"/>
      <c r="J94" s="150"/>
      <c r="K94" s="150"/>
      <c r="L94" s="151"/>
      <c r="M94" s="153"/>
      <c r="N94" s="153"/>
      <c r="O94" s="153"/>
      <c r="P94" s="154"/>
      <c r="Q94" s="154"/>
      <c r="R94" s="155"/>
      <c r="S94" s="154"/>
      <c r="T94" s="154"/>
      <c r="U94" s="155"/>
      <c r="V94" s="153"/>
      <c r="W94" s="153"/>
      <c r="X94" s="153"/>
      <c r="Y94" s="154"/>
      <c r="Z94" s="154"/>
      <c r="AA94" s="155"/>
      <c r="AB94" s="154"/>
      <c r="AC94" s="154"/>
      <c r="AD94" s="155"/>
      <c r="AE94" s="153"/>
      <c r="AF94" s="153"/>
      <c r="AG94" s="153"/>
      <c r="AH94" s="153"/>
      <c r="AI94" s="153"/>
      <c r="AJ94" s="153"/>
      <c r="AK94" s="154"/>
      <c r="AL94" s="154"/>
      <c r="AM94" s="155"/>
    </row>
    <row r="95" spans="9:39" x14ac:dyDescent="0.35">
      <c r="I95" s="152"/>
      <c r="J95" s="150"/>
      <c r="K95" s="150"/>
      <c r="L95" s="151"/>
      <c r="M95" s="154"/>
      <c r="N95" s="154"/>
      <c r="O95" s="155"/>
      <c r="P95" s="154"/>
      <c r="Q95" s="154"/>
      <c r="R95" s="155"/>
      <c r="S95" s="154"/>
      <c r="T95" s="154"/>
      <c r="U95" s="155"/>
      <c r="V95" s="153"/>
      <c r="W95" s="153"/>
      <c r="X95" s="153"/>
      <c r="Y95" s="154"/>
      <c r="Z95" s="154"/>
      <c r="AA95" s="155"/>
      <c r="AB95" s="154"/>
      <c r="AC95" s="154"/>
      <c r="AD95" s="155"/>
      <c r="AE95" s="153"/>
      <c r="AF95" s="153"/>
      <c r="AG95" s="153"/>
      <c r="AH95" s="153"/>
      <c r="AI95" s="153"/>
      <c r="AJ95" s="153"/>
      <c r="AK95" s="153"/>
      <c r="AL95" s="153"/>
      <c r="AM95" s="153"/>
    </row>
    <row r="96" spans="9:39" x14ac:dyDescent="0.35">
      <c r="I96" s="152"/>
      <c r="J96" s="150"/>
      <c r="K96" s="150"/>
      <c r="L96" s="151"/>
      <c r="M96" s="154"/>
      <c r="N96" s="154"/>
      <c r="O96" s="155"/>
      <c r="P96" s="154"/>
      <c r="Q96" s="154"/>
      <c r="R96" s="155"/>
      <c r="S96" s="154"/>
      <c r="T96" s="154"/>
      <c r="U96" s="155"/>
      <c r="V96" s="153"/>
      <c r="W96" s="153"/>
      <c r="X96" s="153"/>
      <c r="Y96" s="154"/>
      <c r="Z96" s="154"/>
      <c r="AA96" s="155"/>
      <c r="AB96" s="154"/>
      <c r="AC96" s="154"/>
      <c r="AD96" s="155"/>
      <c r="AE96" s="153"/>
      <c r="AF96" s="153"/>
      <c r="AG96" s="153"/>
      <c r="AH96" s="153"/>
      <c r="AI96" s="153"/>
      <c r="AJ96" s="153"/>
      <c r="AK96" s="153"/>
      <c r="AL96" s="153"/>
      <c r="AM96" s="153"/>
    </row>
    <row r="97" spans="9:39" x14ac:dyDescent="0.35">
      <c r="I97" s="152"/>
      <c r="J97" s="150"/>
      <c r="K97" s="150"/>
      <c r="L97" s="151"/>
      <c r="M97" s="154"/>
      <c r="N97" s="154"/>
      <c r="O97" s="155"/>
      <c r="P97" s="154"/>
      <c r="Q97" s="154"/>
      <c r="R97" s="155"/>
      <c r="S97" s="154"/>
      <c r="T97" s="154"/>
      <c r="U97" s="155"/>
      <c r="V97" s="153"/>
      <c r="W97" s="153"/>
      <c r="X97" s="153"/>
      <c r="Y97" s="154"/>
      <c r="Z97" s="154"/>
      <c r="AA97" s="155"/>
      <c r="AB97" s="154"/>
      <c r="AC97" s="154"/>
      <c r="AD97" s="155"/>
      <c r="AE97" s="153"/>
      <c r="AF97" s="153"/>
      <c r="AG97" s="153"/>
      <c r="AH97" s="153"/>
      <c r="AI97" s="153"/>
      <c r="AJ97" s="153"/>
      <c r="AK97" s="153"/>
      <c r="AL97" s="153"/>
      <c r="AM97" s="153"/>
    </row>
    <row r="98" spans="9:39" x14ac:dyDescent="0.35">
      <c r="I98" s="152"/>
      <c r="J98" s="150"/>
      <c r="K98" s="150"/>
      <c r="L98" s="151"/>
      <c r="M98" s="154"/>
      <c r="N98" s="154"/>
      <c r="O98" s="155"/>
      <c r="P98" s="154"/>
      <c r="Q98" s="154"/>
      <c r="R98" s="155"/>
      <c r="S98" s="154"/>
      <c r="T98" s="154"/>
      <c r="U98" s="155"/>
      <c r="V98" s="153"/>
      <c r="W98" s="153"/>
      <c r="X98" s="153"/>
      <c r="Y98" s="154"/>
      <c r="Z98" s="154"/>
      <c r="AA98" s="155"/>
      <c r="AB98" s="154"/>
      <c r="AC98" s="154"/>
      <c r="AD98" s="155"/>
      <c r="AE98" s="153"/>
      <c r="AF98" s="153"/>
      <c r="AG98" s="153"/>
      <c r="AH98" s="153"/>
      <c r="AI98" s="153"/>
      <c r="AJ98" s="153"/>
      <c r="AK98" s="153"/>
      <c r="AL98" s="153"/>
      <c r="AM98" s="153"/>
    </row>
    <row r="99" spans="9:39" x14ac:dyDescent="0.35">
      <c r="I99" s="152"/>
      <c r="J99" s="150"/>
      <c r="K99" s="150"/>
      <c r="L99" s="151"/>
      <c r="M99" s="154"/>
      <c r="N99" s="154"/>
      <c r="O99" s="155"/>
      <c r="P99" s="154"/>
      <c r="Q99" s="154"/>
      <c r="R99" s="155"/>
      <c r="S99" s="154"/>
      <c r="T99" s="154"/>
      <c r="U99" s="155"/>
      <c r="V99" s="153"/>
      <c r="W99" s="153"/>
      <c r="X99" s="153"/>
      <c r="Y99" s="154"/>
      <c r="Z99" s="154"/>
      <c r="AA99" s="155"/>
      <c r="AB99" s="154"/>
      <c r="AC99" s="154"/>
      <c r="AD99" s="155"/>
      <c r="AE99" s="153"/>
      <c r="AF99" s="153"/>
      <c r="AG99" s="153"/>
      <c r="AH99" s="153"/>
      <c r="AI99" s="153"/>
      <c r="AJ99" s="153"/>
      <c r="AK99" s="154"/>
      <c r="AL99" s="154"/>
      <c r="AM99" s="155"/>
    </row>
    <row r="100" spans="9:39" x14ac:dyDescent="0.35">
      <c r="I100" s="152"/>
      <c r="J100" s="150"/>
      <c r="K100" s="150"/>
      <c r="L100" s="151"/>
      <c r="M100" s="154"/>
      <c r="N100" s="154"/>
      <c r="O100" s="155"/>
      <c r="P100" s="154"/>
      <c r="Q100" s="154"/>
      <c r="R100" s="155"/>
      <c r="S100" s="154"/>
      <c r="T100" s="154"/>
      <c r="U100" s="155"/>
      <c r="V100" s="153"/>
      <c r="W100" s="153"/>
      <c r="X100" s="153"/>
      <c r="Y100" s="154"/>
      <c r="Z100" s="154"/>
      <c r="AA100" s="155"/>
      <c r="AB100" s="154"/>
      <c r="AC100" s="154"/>
      <c r="AD100" s="155"/>
      <c r="AE100" s="153"/>
      <c r="AF100" s="153"/>
      <c r="AG100" s="153"/>
      <c r="AH100" s="153"/>
      <c r="AI100" s="153"/>
      <c r="AJ100" s="153"/>
      <c r="AK100" s="153"/>
      <c r="AL100" s="153"/>
      <c r="AM100" s="153"/>
    </row>
    <row r="101" spans="9:39" x14ac:dyDescent="0.35">
      <c r="I101" s="152"/>
      <c r="J101" s="150"/>
      <c r="K101" s="150"/>
      <c r="L101" s="151"/>
      <c r="M101" s="153"/>
      <c r="N101" s="153"/>
      <c r="O101" s="153"/>
      <c r="P101" s="154"/>
      <c r="Q101" s="154"/>
      <c r="R101" s="155"/>
      <c r="S101" s="154"/>
      <c r="T101" s="154"/>
      <c r="U101" s="155"/>
      <c r="V101" s="153"/>
      <c r="W101" s="153"/>
      <c r="X101" s="153"/>
      <c r="Y101" s="154"/>
      <c r="Z101" s="154"/>
      <c r="AA101" s="155"/>
      <c r="AB101" s="154"/>
      <c r="AC101" s="154"/>
      <c r="AD101" s="155"/>
      <c r="AE101" s="153"/>
      <c r="AF101" s="153"/>
      <c r="AG101" s="153"/>
      <c r="AH101" s="153"/>
      <c r="AI101" s="153"/>
      <c r="AJ101" s="153"/>
      <c r="AK101" s="154"/>
      <c r="AL101" s="154"/>
      <c r="AM101" s="155"/>
    </row>
    <row r="102" spans="9:39" x14ac:dyDescent="0.35">
      <c r="I102" s="152"/>
      <c r="J102" s="150"/>
      <c r="K102" s="150"/>
      <c r="L102" s="151"/>
      <c r="M102" s="153"/>
      <c r="N102" s="153"/>
      <c r="O102" s="153"/>
      <c r="P102" s="154"/>
      <c r="Q102" s="154"/>
      <c r="R102" s="155"/>
      <c r="S102" s="154"/>
      <c r="T102" s="154"/>
      <c r="U102" s="155"/>
      <c r="V102" s="153"/>
      <c r="W102" s="153"/>
      <c r="X102" s="153"/>
      <c r="Y102" s="154"/>
      <c r="Z102" s="154"/>
      <c r="AA102" s="155"/>
      <c r="AB102" s="154"/>
      <c r="AC102" s="154"/>
      <c r="AD102" s="155"/>
      <c r="AE102" s="154"/>
      <c r="AF102" s="154"/>
      <c r="AG102" s="155"/>
      <c r="AH102" s="153"/>
      <c r="AI102" s="153"/>
      <c r="AJ102" s="153"/>
      <c r="AK102" s="153"/>
      <c r="AL102" s="153"/>
      <c r="AM102" s="153"/>
    </row>
    <row r="103" spans="9:39" x14ac:dyDescent="0.35">
      <c r="I103" s="152"/>
      <c r="J103" s="150"/>
      <c r="K103" s="150"/>
      <c r="L103" s="151"/>
      <c r="M103" s="154"/>
      <c r="N103" s="154"/>
      <c r="O103" s="155"/>
      <c r="P103" s="154"/>
      <c r="Q103" s="154"/>
      <c r="R103" s="155"/>
      <c r="S103" s="154"/>
      <c r="T103" s="154"/>
      <c r="U103" s="155"/>
      <c r="V103" s="153"/>
      <c r="W103" s="153"/>
      <c r="X103" s="153"/>
      <c r="Y103" s="154"/>
      <c r="Z103" s="154"/>
      <c r="AA103" s="155"/>
      <c r="AB103" s="154"/>
      <c r="AC103" s="154"/>
      <c r="AD103" s="155"/>
      <c r="AE103" s="154"/>
      <c r="AF103" s="154"/>
      <c r="AG103" s="155"/>
      <c r="AH103" s="153"/>
      <c r="AI103" s="153"/>
      <c r="AJ103" s="153"/>
      <c r="AK103" s="154"/>
      <c r="AL103" s="154"/>
      <c r="AM103" s="155"/>
    </row>
    <row r="104" spans="9:39" x14ac:dyDescent="0.35">
      <c r="I104" s="152"/>
      <c r="J104" s="150"/>
      <c r="K104" s="150"/>
      <c r="L104" s="151"/>
      <c r="M104" s="154"/>
      <c r="N104" s="154"/>
      <c r="O104" s="155"/>
      <c r="P104" s="154"/>
      <c r="Q104" s="154"/>
      <c r="R104" s="155"/>
      <c r="S104" s="154"/>
      <c r="T104" s="154"/>
      <c r="U104" s="155"/>
      <c r="V104" s="153"/>
      <c r="W104" s="153"/>
      <c r="X104" s="153"/>
      <c r="Y104" s="154"/>
      <c r="Z104" s="154"/>
      <c r="AA104" s="155"/>
      <c r="AB104" s="154"/>
      <c r="AC104" s="154"/>
      <c r="AD104" s="155"/>
      <c r="AE104" s="153"/>
      <c r="AF104" s="153"/>
      <c r="AG104" s="153"/>
      <c r="AH104" s="153"/>
      <c r="AI104" s="153"/>
      <c r="AJ104" s="153"/>
      <c r="AK104" s="153"/>
      <c r="AL104" s="153"/>
      <c r="AM104" s="153"/>
    </row>
    <row r="105" spans="9:39" x14ac:dyDescent="0.35">
      <c r="I105" s="152"/>
      <c r="J105" s="150"/>
      <c r="K105" s="150"/>
      <c r="L105" s="151"/>
      <c r="M105" s="154"/>
      <c r="N105" s="154"/>
      <c r="O105" s="155"/>
      <c r="P105" s="154"/>
      <c r="Q105" s="154"/>
      <c r="R105" s="155"/>
      <c r="S105" s="154"/>
      <c r="T105" s="154"/>
      <c r="U105" s="155"/>
      <c r="V105" s="154"/>
      <c r="W105" s="154"/>
      <c r="X105" s="155"/>
      <c r="Y105" s="154"/>
      <c r="Z105" s="154"/>
      <c r="AA105" s="155"/>
      <c r="AB105" s="154"/>
      <c r="AC105" s="154"/>
      <c r="AD105" s="155"/>
      <c r="AE105" s="154"/>
      <c r="AF105" s="154"/>
      <c r="AG105" s="155"/>
      <c r="AH105" s="153"/>
      <c r="AI105" s="153"/>
      <c r="AJ105" s="153"/>
      <c r="AK105" s="154"/>
      <c r="AL105" s="154"/>
      <c r="AM105" s="155"/>
    </row>
    <row r="106" spans="9:39" x14ac:dyDescent="0.35">
      <c r="I106" s="152"/>
      <c r="J106" s="150"/>
      <c r="K106" s="150"/>
      <c r="L106" s="151"/>
      <c r="M106" s="154"/>
      <c r="N106" s="154"/>
      <c r="O106" s="155"/>
      <c r="P106" s="154"/>
      <c r="Q106" s="154"/>
      <c r="R106" s="155"/>
      <c r="S106" s="154"/>
      <c r="T106" s="154"/>
      <c r="U106" s="155"/>
      <c r="V106" s="153"/>
      <c r="W106" s="153"/>
      <c r="X106" s="153"/>
      <c r="Y106" s="154"/>
      <c r="Z106" s="154"/>
      <c r="AA106" s="155"/>
      <c r="AB106" s="154"/>
      <c r="AC106" s="154"/>
      <c r="AD106" s="155"/>
      <c r="AE106" s="153"/>
      <c r="AF106" s="153"/>
      <c r="AG106" s="153"/>
      <c r="AH106" s="153"/>
      <c r="AI106" s="153"/>
      <c r="AJ106" s="153"/>
      <c r="AK106" s="153"/>
      <c r="AL106" s="153"/>
      <c r="AM106" s="153"/>
    </row>
    <row r="107" spans="9:39" x14ac:dyDescent="0.35">
      <c r="I107" s="152"/>
      <c r="J107" s="150"/>
      <c r="K107" s="150"/>
      <c r="L107" s="151"/>
      <c r="M107" s="154"/>
      <c r="N107" s="154"/>
      <c r="O107" s="155"/>
      <c r="P107" s="154"/>
      <c r="Q107" s="154"/>
      <c r="R107" s="155"/>
      <c r="S107" s="154"/>
      <c r="T107" s="154"/>
      <c r="U107" s="155"/>
      <c r="V107" s="153"/>
      <c r="W107" s="153"/>
      <c r="X107" s="153"/>
      <c r="Y107" s="154"/>
      <c r="Z107" s="154"/>
      <c r="AA107" s="155"/>
      <c r="AB107" s="154"/>
      <c r="AC107" s="154"/>
      <c r="AD107" s="155"/>
      <c r="AE107" s="153"/>
      <c r="AF107" s="153"/>
      <c r="AG107" s="153"/>
      <c r="AH107" s="153"/>
      <c r="AI107" s="153"/>
      <c r="AJ107" s="153"/>
      <c r="AK107" s="153"/>
      <c r="AL107" s="153"/>
      <c r="AM107" s="153"/>
    </row>
    <row r="108" spans="9:39" x14ac:dyDescent="0.35">
      <c r="I108" s="152"/>
      <c r="J108" s="150"/>
      <c r="K108" s="150"/>
      <c r="L108" s="151"/>
      <c r="M108" s="154"/>
      <c r="N108" s="154"/>
      <c r="O108" s="155"/>
      <c r="P108" s="154"/>
      <c r="Q108" s="154"/>
      <c r="R108" s="155"/>
      <c r="S108" s="154"/>
      <c r="T108" s="154"/>
      <c r="U108" s="155"/>
      <c r="V108" s="153"/>
      <c r="W108" s="153"/>
      <c r="X108" s="153"/>
      <c r="Y108" s="154"/>
      <c r="Z108" s="154"/>
      <c r="AA108" s="155"/>
      <c r="AB108" s="154"/>
      <c r="AC108" s="154"/>
      <c r="AD108" s="155"/>
      <c r="AE108" s="153"/>
      <c r="AF108" s="153"/>
      <c r="AG108" s="153"/>
      <c r="AH108" s="153"/>
      <c r="AI108" s="153"/>
      <c r="AJ108" s="153"/>
      <c r="AK108" s="154"/>
      <c r="AL108" s="154"/>
      <c r="AM108" s="155"/>
    </row>
    <row r="109" spans="9:39" x14ac:dyDescent="0.35">
      <c r="I109" s="152"/>
      <c r="J109" s="150"/>
      <c r="K109" s="150"/>
      <c r="L109" s="151"/>
      <c r="M109" s="154"/>
      <c r="N109" s="154"/>
      <c r="O109" s="155"/>
      <c r="P109" s="154"/>
      <c r="Q109" s="154"/>
      <c r="R109" s="155"/>
      <c r="S109" s="154"/>
      <c r="T109" s="154"/>
      <c r="U109" s="155"/>
      <c r="V109" s="153"/>
      <c r="W109" s="153"/>
      <c r="X109" s="153"/>
      <c r="Y109" s="154"/>
      <c r="Z109" s="154"/>
      <c r="AA109" s="155"/>
      <c r="AB109" s="154"/>
      <c r="AC109" s="154"/>
      <c r="AD109" s="155"/>
      <c r="AE109" s="153"/>
      <c r="AF109" s="153"/>
      <c r="AG109" s="153"/>
      <c r="AH109" s="153"/>
      <c r="AI109" s="153"/>
      <c r="AJ109" s="153"/>
      <c r="AK109" s="153"/>
      <c r="AL109" s="153"/>
      <c r="AM109" s="153"/>
    </row>
    <row r="110" spans="9:39" x14ac:dyDescent="0.35">
      <c r="I110" s="152"/>
      <c r="J110" s="150"/>
      <c r="K110" s="150"/>
      <c r="L110" s="151"/>
      <c r="M110" s="154"/>
      <c r="N110" s="154"/>
      <c r="O110" s="155"/>
      <c r="P110" s="154"/>
      <c r="Q110" s="154"/>
      <c r="R110" s="155"/>
      <c r="S110" s="154"/>
      <c r="T110" s="154"/>
      <c r="U110" s="155"/>
      <c r="V110" s="153"/>
      <c r="W110" s="153"/>
      <c r="X110" s="153"/>
      <c r="Y110" s="154"/>
      <c r="Z110" s="154"/>
      <c r="AA110" s="155"/>
      <c r="AB110" s="154"/>
      <c r="AC110" s="154"/>
      <c r="AD110" s="155"/>
      <c r="AE110" s="153"/>
      <c r="AF110" s="153"/>
      <c r="AG110" s="153"/>
      <c r="AH110" s="153"/>
      <c r="AI110" s="153"/>
      <c r="AJ110" s="153"/>
      <c r="AK110" s="153"/>
      <c r="AL110" s="153"/>
      <c r="AM110" s="153"/>
    </row>
    <row r="111" spans="9:39" x14ac:dyDescent="0.35">
      <c r="I111" s="152"/>
      <c r="J111" s="150"/>
      <c r="K111" s="150"/>
      <c r="L111" s="151"/>
      <c r="M111" s="154"/>
      <c r="N111" s="154"/>
      <c r="O111" s="155"/>
      <c r="P111" s="154"/>
      <c r="Q111" s="154"/>
      <c r="R111" s="155"/>
      <c r="S111" s="154"/>
      <c r="T111" s="154"/>
      <c r="U111" s="155"/>
      <c r="V111" s="153"/>
      <c r="W111" s="153"/>
      <c r="X111" s="153"/>
      <c r="Y111" s="154"/>
      <c r="Z111" s="154"/>
      <c r="AA111" s="155"/>
      <c r="AB111" s="154"/>
      <c r="AC111" s="154"/>
      <c r="AD111" s="155"/>
      <c r="AE111" s="154"/>
      <c r="AF111" s="154"/>
      <c r="AG111" s="155"/>
      <c r="AH111" s="153"/>
      <c r="AI111" s="153"/>
      <c r="AJ111" s="153"/>
      <c r="AK111" s="154"/>
      <c r="AL111" s="154"/>
      <c r="AM111" s="155"/>
    </row>
    <row r="112" spans="9:39" x14ac:dyDescent="0.35">
      <c r="I112" s="152"/>
      <c r="J112" s="150"/>
      <c r="K112" s="150"/>
      <c r="L112" s="151"/>
      <c r="M112" s="154"/>
      <c r="N112" s="154"/>
      <c r="O112" s="155"/>
      <c r="P112" s="154"/>
      <c r="Q112" s="154"/>
      <c r="R112" s="155"/>
      <c r="S112" s="154"/>
      <c r="T112" s="154"/>
      <c r="U112" s="155"/>
      <c r="V112" s="154"/>
      <c r="W112" s="154"/>
      <c r="X112" s="155"/>
      <c r="Y112" s="154"/>
      <c r="Z112" s="154"/>
      <c r="AA112" s="155"/>
      <c r="AB112" s="154"/>
      <c r="AC112" s="154"/>
      <c r="AD112" s="155"/>
      <c r="AE112" s="153"/>
      <c r="AF112" s="153"/>
      <c r="AG112" s="153"/>
      <c r="AH112" s="153"/>
      <c r="AI112" s="153"/>
      <c r="AJ112" s="153"/>
      <c r="AK112" s="154"/>
      <c r="AL112" s="154"/>
      <c r="AM112" s="155"/>
    </row>
    <row r="113" spans="9:39" x14ac:dyDescent="0.35">
      <c r="I113" s="152"/>
      <c r="J113" s="150"/>
      <c r="K113" s="150"/>
      <c r="L113" s="151"/>
      <c r="M113" s="153"/>
      <c r="N113" s="153"/>
      <c r="O113" s="153"/>
      <c r="P113" s="154"/>
      <c r="Q113" s="154"/>
      <c r="R113" s="155"/>
      <c r="S113" s="154"/>
      <c r="T113" s="154"/>
      <c r="U113" s="155"/>
      <c r="V113" s="153"/>
      <c r="W113" s="153"/>
      <c r="X113" s="153"/>
      <c r="Y113" s="154"/>
      <c r="Z113" s="154"/>
      <c r="AA113" s="155"/>
      <c r="AB113" s="154"/>
      <c r="AC113" s="154"/>
      <c r="AD113" s="155"/>
      <c r="AE113" s="153"/>
      <c r="AF113" s="153"/>
      <c r="AG113" s="153"/>
      <c r="AH113" s="153"/>
      <c r="AI113" s="153"/>
      <c r="AJ113" s="153"/>
      <c r="AK113" s="153"/>
      <c r="AL113" s="153"/>
      <c r="AM113" s="153"/>
    </row>
    <row r="114" spans="9:39" x14ac:dyDescent="0.35">
      <c r="I114" s="152"/>
      <c r="J114" s="150"/>
      <c r="K114" s="150"/>
      <c r="L114" s="151"/>
      <c r="M114" s="154"/>
      <c r="N114" s="154"/>
      <c r="O114" s="155"/>
      <c r="P114" s="154"/>
      <c r="Q114" s="154"/>
      <c r="R114" s="155"/>
      <c r="S114" s="154"/>
      <c r="T114" s="154"/>
      <c r="U114" s="155"/>
      <c r="V114" s="153"/>
      <c r="W114" s="153"/>
      <c r="X114" s="153"/>
      <c r="Y114" s="154"/>
      <c r="Z114" s="154"/>
      <c r="AA114" s="155"/>
      <c r="AB114" s="154"/>
      <c r="AC114" s="154"/>
      <c r="AD114" s="155"/>
      <c r="AE114" s="153"/>
      <c r="AF114" s="153"/>
      <c r="AG114" s="153"/>
      <c r="AH114" s="153"/>
      <c r="AI114" s="153"/>
      <c r="AJ114" s="153"/>
      <c r="AK114" s="153"/>
      <c r="AL114" s="153"/>
      <c r="AM114" s="153"/>
    </row>
    <row r="115" spans="9:39" x14ac:dyDescent="0.35">
      <c r="I115" s="152"/>
      <c r="J115" s="150"/>
      <c r="K115" s="150"/>
      <c r="L115" s="151"/>
      <c r="M115" s="154"/>
      <c r="N115" s="154"/>
      <c r="O115" s="155"/>
      <c r="P115" s="154"/>
      <c r="Q115" s="154"/>
      <c r="R115" s="155"/>
      <c r="S115" s="154"/>
      <c r="T115" s="154"/>
      <c r="U115" s="155"/>
      <c r="V115" s="153"/>
      <c r="W115" s="153"/>
      <c r="X115" s="153"/>
      <c r="Y115" s="154"/>
      <c r="Z115" s="154"/>
      <c r="AA115" s="155"/>
      <c r="AB115" s="154"/>
      <c r="AC115" s="154"/>
      <c r="AD115" s="155"/>
      <c r="AE115" s="153"/>
      <c r="AF115" s="153"/>
      <c r="AG115" s="153"/>
      <c r="AH115" s="153"/>
      <c r="AI115" s="153"/>
      <c r="AJ115" s="153"/>
      <c r="AK115" s="153"/>
      <c r="AL115" s="153"/>
      <c r="AM115" s="153"/>
    </row>
    <row r="116" spans="9:39" x14ac:dyDescent="0.35">
      <c r="I116" s="152"/>
      <c r="J116" s="150"/>
      <c r="K116" s="150"/>
      <c r="L116" s="151"/>
      <c r="M116" s="154"/>
      <c r="N116" s="154"/>
      <c r="O116" s="155"/>
      <c r="P116" s="154"/>
      <c r="Q116" s="154"/>
      <c r="R116" s="155"/>
      <c r="S116" s="154"/>
      <c r="T116" s="154"/>
      <c r="U116" s="155"/>
      <c r="V116" s="153"/>
      <c r="W116" s="153"/>
      <c r="X116" s="153"/>
      <c r="Y116" s="154"/>
      <c r="Z116" s="154"/>
      <c r="AA116" s="155"/>
      <c r="AB116" s="154"/>
      <c r="AC116" s="154"/>
      <c r="AD116" s="155"/>
      <c r="AE116" s="153"/>
      <c r="AF116" s="153"/>
      <c r="AG116" s="153"/>
      <c r="AH116" s="153"/>
      <c r="AI116" s="153"/>
      <c r="AJ116" s="153"/>
      <c r="AK116" s="154"/>
      <c r="AL116" s="154"/>
      <c r="AM116" s="155"/>
    </row>
    <row r="117" spans="9:39" x14ac:dyDescent="0.35">
      <c r="I117" s="152"/>
      <c r="J117" s="150"/>
      <c r="K117" s="150"/>
      <c r="L117" s="151"/>
      <c r="M117" s="154"/>
      <c r="N117" s="154"/>
      <c r="O117" s="155"/>
      <c r="P117" s="154"/>
      <c r="Q117" s="154"/>
      <c r="R117" s="155"/>
      <c r="S117" s="154"/>
      <c r="T117" s="154"/>
      <c r="U117" s="155"/>
      <c r="V117" s="153"/>
      <c r="W117" s="153"/>
      <c r="X117" s="153"/>
      <c r="Y117" s="154"/>
      <c r="Z117" s="154"/>
      <c r="AA117" s="155"/>
      <c r="AB117" s="154"/>
      <c r="AC117" s="154"/>
      <c r="AD117" s="155"/>
      <c r="AE117" s="154"/>
      <c r="AF117" s="154"/>
      <c r="AG117" s="155"/>
      <c r="AH117" s="153"/>
      <c r="AI117" s="153"/>
      <c r="AJ117" s="153"/>
      <c r="AK117" s="154"/>
      <c r="AL117" s="154"/>
      <c r="AM117" s="155"/>
    </row>
    <row r="118" spans="9:39" x14ac:dyDescent="0.35">
      <c r="I118" s="152"/>
      <c r="J118" s="150"/>
      <c r="K118" s="150"/>
      <c r="L118" s="151"/>
      <c r="M118" s="154"/>
      <c r="N118" s="154"/>
      <c r="O118" s="155"/>
      <c r="P118" s="154"/>
      <c r="Q118" s="154"/>
      <c r="R118" s="155"/>
      <c r="S118" s="154"/>
      <c r="T118" s="154"/>
      <c r="U118" s="155"/>
      <c r="V118" s="153"/>
      <c r="W118" s="153"/>
      <c r="X118" s="153"/>
      <c r="Y118" s="154"/>
      <c r="Z118" s="154"/>
      <c r="AA118" s="155"/>
      <c r="AB118" s="154"/>
      <c r="AC118" s="154"/>
      <c r="AD118" s="155"/>
      <c r="AE118" s="153"/>
      <c r="AF118" s="153"/>
      <c r="AG118" s="153"/>
      <c r="AH118" s="153"/>
      <c r="AI118" s="153"/>
      <c r="AJ118" s="153"/>
      <c r="AK118" s="153"/>
      <c r="AL118" s="153"/>
      <c r="AM118" s="153"/>
    </row>
    <row r="119" spans="9:39" x14ac:dyDescent="0.35">
      <c r="I119" s="152"/>
      <c r="J119" s="150"/>
      <c r="K119" s="150"/>
      <c r="L119" s="151"/>
      <c r="M119" s="154"/>
      <c r="N119" s="154"/>
      <c r="O119" s="155"/>
      <c r="P119" s="154"/>
      <c r="Q119" s="154"/>
      <c r="R119" s="155"/>
      <c r="S119" s="154"/>
      <c r="T119" s="154"/>
      <c r="U119" s="155"/>
      <c r="V119" s="153"/>
      <c r="W119" s="153"/>
      <c r="X119" s="153"/>
      <c r="Y119" s="154"/>
      <c r="Z119" s="154"/>
      <c r="AA119" s="155"/>
      <c r="AB119" s="154"/>
      <c r="AC119" s="154"/>
      <c r="AD119" s="155"/>
      <c r="AE119" s="153"/>
      <c r="AF119" s="153"/>
      <c r="AG119" s="153"/>
      <c r="AH119" s="153"/>
      <c r="AI119" s="153"/>
      <c r="AJ119" s="153"/>
      <c r="AK119" s="153"/>
      <c r="AL119" s="153"/>
      <c r="AM119" s="153"/>
    </row>
    <row r="120" spans="9:39" x14ac:dyDescent="0.35">
      <c r="I120" s="152"/>
      <c r="J120" s="150"/>
      <c r="K120" s="150"/>
      <c r="L120" s="151"/>
      <c r="M120" s="153"/>
      <c r="N120" s="153"/>
      <c r="O120" s="153"/>
      <c r="P120" s="154"/>
      <c r="Q120" s="154"/>
      <c r="R120" s="155"/>
      <c r="S120" s="154"/>
      <c r="T120" s="154"/>
      <c r="U120" s="155"/>
      <c r="V120" s="153"/>
      <c r="W120" s="153"/>
      <c r="X120" s="153"/>
      <c r="Y120" s="154"/>
      <c r="Z120" s="154"/>
      <c r="AA120" s="155"/>
      <c r="AB120" s="154"/>
      <c r="AC120" s="154"/>
      <c r="AD120" s="155"/>
      <c r="AE120" s="153"/>
      <c r="AF120" s="153"/>
      <c r="AG120" s="153"/>
      <c r="AH120" s="153"/>
      <c r="AI120" s="153"/>
      <c r="AJ120" s="153"/>
      <c r="AK120" s="153"/>
      <c r="AL120" s="153"/>
      <c r="AM120" s="153"/>
    </row>
    <row r="121" spans="9:39" x14ac:dyDescent="0.35">
      <c r="I121" s="152"/>
      <c r="J121" s="150"/>
      <c r="K121" s="150"/>
      <c r="L121" s="151"/>
      <c r="M121" s="154"/>
      <c r="N121" s="154"/>
      <c r="O121" s="155"/>
      <c r="P121" s="154"/>
      <c r="Q121" s="154"/>
      <c r="R121" s="155"/>
      <c r="S121" s="154"/>
      <c r="T121" s="154"/>
      <c r="U121" s="155"/>
      <c r="V121" s="153"/>
      <c r="W121" s="153"/>
      <c r="X121" s="153"/>
      <c r="Y121" s="154"/>
      <c r="Z121" s="154"/>
      <c r="AA121" s="155"/>
      <c r="AB121" s="154"/>
      <c r="AC121" s="154"/>
      <c r="AD121" s="155"/>
      <c r="AE121" s="153"/>
      <c r="AF121" s="153"/>
      <c r="AG121" s="153"/>
      <c r="AH121" s="153"/>
      <c r="AI121" s="153"/>
      <c r="AJ121" s="153"/>
      <c r="AK121" s="153"/>
      <c r="AL121" s="153"/>
      <c r="AM121" s="153"/>
    </row>
    <row r="122" spans="9:39" x14ac:dyDescent="0.35">
      <c r="I122" s="152"/>
      <c r="J122" s="150"/>
      <c r="K122" s="150"/>
      <c r="L122" s="151"/>
      <c r="M122" s="154"/>
      <c r="N122" s="154"/>
      <c r="O122" s="155"/>
      <c r="P122" s="154"/>
      <c r="Q122" s="154"/>
      <c r="R122" s="155"/>
      <c r="S122" s="154"/>
      <c r="T122" s="154"/>
      <c r="U122" s="155"/>
      <c r="V122" s="153"/>
      <c r="W122" s="153"/>
      <c r="X122" s="153"/>
      <c r="Y122" s="154"/>
      <c r="Z122" s="154"/>
      <c r="AA122" s="155"/>
      <c r="AB122" s="154"/>
      <c r="AC122" s="154"/>
      <c r="AD122" s="155"/>
      <c r="AE122" s="153"/>
      <c r="AF122" s="153"/>
      <c r="AG122" s="153"/>
      <c r="AH122" s="153"/>
      <c r="AI122" s="153"/>
      <c r="AJ122" s="153"/>
      <c r="AK122" s="153"/>
      <c r="AL122" s="153"/>
      <c r="AM122" s="153"/>
    </row>
    <row r="123" spans="9:39" x14ac:dyDescent="0.35">
      <c r="I123" s="152"/>
      <c r="J123" s="150"/>
      <c r="K123" s="150"/>
      <c r="L123" s="151"/>
      <c r="M123" s="154"/>
      <c r="N123" s="154"/>
      <c r="O123" s="155"/>
      <c r="P123" s="154"/>
      <c r="Q123" s="154"/>
      <c r="R123" s="155"/>
      <c r="S123" s="154"/>
      <c r="T123" s="154"/>
      <c r="U123" s="155"/>
      <c r="V123" s="153"/>
      <c r="W123" s="153"/>
      <c r="X123" s="153"/>
      <c r="Y123" s="154"/>
      <c r="Z123" s="154"/>
      <c r="AA123" s="155"/>
      <c r="AB123" s="154"/>
      <c r="AC123" s="154"/>
      <c r="AD123" s="155"/>
      <c r="AE123" s="153"/>
      <c r="AF123" s="153"/>
      <c r="AG123" s="153"/>
      <c r="AH123" s="153"/>
      <c r="AI123" s="153"/>
      <c r="AJ123" s="153"/>
      <c r="AK123" s="153"/>
      <c r="AL123" s="153"/>
      <c r="AM123" s="153"/>
    </row>
    <row r="124" spans="9:39" x14ac:dyDescent="0.35">
      <c r="I124" s="152"/>
      <c r="J124" s="150"/>
      <c r="K124" s="150"/>
      <c r="L124" s="151"/>
      <c r="M124" s="154"/>
      <c r="N124" s="154"/>
      <c r="O124" s="155"/>
      <c r="P124" s="154"/>
      <c r="Q124" s="154"/>
      <c r="R124" s="155"/>
      <c r="S124" s="154"/>
      <c r="T124" s="154"/>
      <c r="U124" s="155"/>
      <c r="V124" s="153"/>
      <c r="W124" s="153"/>
      <c r="X124" s="153"/>
      <c r="Y124" s="154"/>
      <c r="Z124" s="154"/>
      <c r="AA124" s="155"/>
      <c r="AB124" s="154"/>
      <c r="AC124" s="154"/>
      <c r="AD124" s="155"/>
      <c r="AE124" s="153"/>
      <c r="AF124" s="153"/>
      <c r="AG124" s="153"/>
      <c r="AH124" s="153"/>
      <c r="AI124" s="153"/>
      <c r="AJ124" s="153"/>
      <c r="AK124" s="154"/>
      <c r="AL124" s="154"/>
      <c r="AM124" s="155"/>
    </row>
    <row r="125" spans="9:39" x14ac:dyDescent="0.35">
      <c r="I125" s="152"/>
      <c r="J125" s="150"/>
      <c r="K125" s="150"/>
      <c r="L125" s="151"/>
      <c r="M125" s="154"/>
      <c r="N125" s="154"/>
      <c r="O125" s="155"/>
      <c r="P125" s="154"/>
      <c r="Q125" s="154"/>
      <c r="R125" s="155"/>
      <c r="S125" s="154"/>
      <c r="T125" s="154"/>
      <c r="U125" s="155"/>
      <c r="V125" s="153"/>
      <c r="W125" s="153"/>
      <c r="X125" s="153"/>
      <c r="Y125" s="154"/>
      <c r="Z125" s="154"/>
      <c r="AA125" s="155"/>
      <c r="AB125" s="154"/>
      <c r="AC125" s="154"/>
      <c r="AD125" s="155"/>
      <c r="AE125" s="153"/>
      <c r="AF125" s="153"/>
      <c r="AG125" s="153"/>
      <c r="AH125" s="153"/>
      <c r="AI125" s="153"/>
      <c r="AJ125" s="153"/>
      <c r="AK125" s="153"/>
      <c r="AL125" s="153"/>
      <c r="AM125" s="153"/>
    </row>
  </sheetData>
  <mergeCells count="1">
    <mergeCell ref="A60:G60"/>
  </mergeCells>
  <pageMargins left="0.7" right="0.7" top="0.75" bottom="0.75" header="0.3" footer="0.3"/>
  <pageSetup orientation="portrait" r:id="rId1"/>
  <headerFooter>
    <oddHeader>&amp;C&amp;"Calibri"&amp;10&amp;K000000 Internal Use Only&amp;1#_x000D_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DocumentAbstract xmlns="30ab74f1-bf1b-4077-bf67-a119186b9416" xsi:nil="true"/>
    <_dlc_DocId xmlns="044214af-1120-4e04-b1ee-592d9d5e7936">US3Z3JCZ7ZZM-1249918763-151</_dlc_DocId>
    <_dlc_DocIdUrl xmlns="044214af-1120-4e04-b1ee-592d9d5e7936">
      <Url>https://mortgage.nationwidelicensingsystem.org/knowledge/Products/nmls/aboutNMLS/_layouts/15/DocIdRedir.aspx?ID=US3Z3JCZ7ZZM-1249918763-151</Url>
      <Description>US3Z3JCZ7ZZM-1249918763-151</Description>
    </_dlc_DocIdUrl>
    <ReportOrder xmlns="30ab74f1-bf1b-4077-bf67-a119186b9416">22</ReportOrder>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94C2AA7025CB648862C89E27864EE7B" ma:contentTypeVersion="2" ma:contentTypeDescription="Create a new document." ma:contentTypeScope="" ma:versionID="7a76883663e786dc3f0083d097d77711">
  <xsd:schema xmlns:xsd="http://www.w3.org/2001/XMLSchema" xmlns:xs="http://www.w3.org/2001/XMLSchema" xmlns:p="http://schemas.microsoft.com/office/2006/metadata/properties" xmlns:ns2="044214af-1120-4e04-b1ee-592d9d5e7936" xmlns:ns3="30ab74f1-bf1b-4077-bf67-a119186b9416" targetNamespace="http://schemas.microsoft.com/office/2006/metadata/properties" ma:root="true" ma:fieldsID="af261bec5dfd0619fea56b6eb7847de0" ns2:_="" ns3:_="">
    <xsd:import namespace="044214af-1120-4e04-b1ee-592d9d5e7936"/>
    <xsd:import namespace="30ab74f1-bf1b-4077-bf67-a119186b9416"/>
    <xsd:element name="properties">
      <xsd:complexType>
        <xsd:sequence>
          <xsd:element name="documentManagement">
            <xsd:complexType>
              <xsd:all>
                <xsd:element ref="ns2:_dlc_DocId" minOccurs="0"/>
                <xsd:element ref="ns2:_dlc_DocIdUrl" minOccurs="0"/>
                <xsd:element ref="ns2:_dlc_DocIdPersistId" minOccurs="0"/>
                <xsd:element ref="ns3:DocumentAbstract" minOccurs="0"/>
                <xsd:element ref="ns3:ReportOr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4214af-1120-4e04-b1ee-592d9d5e7936"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30ab74f1-bf1b-4077-bf67-a119186b9416" elementFormDefault="qualified">
    <xsd:import namespace="http://schemas.microsoft.com/office/2006/documentManagement/types"/>
    <xsd:import namespace="http://schemas.microsoft.com/office/infopath/2007/PartnerControls"/>
    <xsd:element name="DocumentAbstract" ma:index="11" nillable="true" ma:displayName="DocumentAbstract" ma:description="This zip archive contains six comma-separated values (.csv) files with data derived from the NMLS, including Mortgage Call Report (MCR) data. Each file is organized by state regulatory agency, year, and quarter. A fuller description of each file is found in the readme.txt file contained in the zip archive." ma:internalName="DocumentAbstract">
      <xsd:simpleType>
        <xsd:restriction base="dms:Note">
          <xsd:maxLength value="255"/>
        </xsd:restriction>
      </xsd:simpleType>
    </xsd:element>
    <xsd:element name="ReportOrder" ma:index="12" nillable="true" ma:displayName="ReportOrder" ma:internalName="ReportOrder" ma:percentage="FALSE">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CC0840C8-A518-4C2E-8964-5D1739008D17}">
  <ds:schemaRefs>
    <ds:schemaRef ds:uri="http://schemas.microsoft.com/office/2006/metadata/properties"/>
    <ds:schemaRef ds:uri="http://schemas.microsoft.com/office/infopath/2007/PartnerControls"/>
    <ds:schemaRef ds:uri="d2d5537c-4e41-485a-b252-8449d1320e77"/>
    <ds:schemaRef ds:uri="6285d5cc-14b9-47ce-bc52-773a2ed1395b"/>
  </ds:schemaRefs>
</ds:datastoreItem>
</file>

<file path=customXml/itemProps2.xml><?xml version="1.0" encoding="utf-8"?>
<ds:datastoreItem xmlns:ds="http://schemas.openxmlformats.org/officeDocument/2006/customXml" ds:itemID="{95F59BF7-CEF7-41E2-81F5-BD48EA1BBC82}"/>
</file>

<file path=customXml/itemProps3.xml><?xml version="1.0" encoding="utf-8"?>
<ds:datastoreItem xmlns:ds="http://schemas.openxmlformats.org/officeDocument/2006/customXml" ds:itemID="{036F1A5C-1968-49DE-A285-070067E0D9F3}">
  <ds:schemaRefs>
    <ds:schemaRef ds:uri="http://schemas.microsoft.com/sharepoint/v3/contenttype/forms"/>
  </ds:schemaRefs>
</ds:datastoreItem>
</file>

<file path=customXml/itemProps4.xml><?xml version="1.0" encoding="utf-8"?>
<ds:datastoreItem xmlns:ds="http://schemas.openxmlformats.org/officeDocument/2006/customXml" ds:itemID="{9A95FCA8-5738-4B46-9DBE-613AC711303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Title</vt:lpstr>
      <vt:lpstr>Mortgage Entities in NMLS</vt:lpstr>
      <vt:lpstr>Counts by State Agency</vt:lpstr>
      <vt:lpstr>Company License Activity</vt:lpstr>
      <vt:lpstr>Individual License Activity</vt:lpstr>
      <vt:lpstr>MCR Originations</vt:lpstr>
      <vt:lpstr>MCR MLOs</vt:lpstr>
      <vt:lpstr>Federal Registrations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2025-07-30T20:52:19Z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0x010100894C2AA7025CB648862C89E27864EE7B</vt:lpwstr>
  </property>
  <property fmtid="{D5CDD505-2E9C-101B-9397-08002B2CF9AE}" pid="3" name="MSIP_Label_f01e8231-d2ac-4398-bac1-28dfcc71348e_Enabled">
    <vt:lpwstr>true</vt:lpwstr>
  </property>
  <property fmtid="{D5CDD505-2E9C-101B-9397-08002B2CF9AE}" pid="4" name="MSIP_Label_f01e8231-d2ac-4398-bac1-28dfcc71348e_SetDate">
    <vt:lpwstr>2024-01-01T19:03:26Z</vt:lpwstr>
  </property>
  <property fmtid="{D5CDD505-2E9C-101B-9397-08002B2CF9AE}" pid="5" name="MSIP_Label_f01e8231-d2ac-4398-bac1-28dfcc71348e_Method">
    <vt:lpwstr>Standard</vt:lpwstr>
  </property>
  <property fmtid="{D5CDD505-2E9C-101B-9397-08002B2CF9AE}" pid="6" name="MSIP_Label_f01e8231-d2ac-4398-bac1-28dfcc71348e_Name">
    <vt:lpwstr>Internal Use Only</vt:lpwstr>
  </property>
  <property fmtid="{D5CDD505-2E9C-101B-9397-08002B2CF9AE}" pid="7" name="MSIP_Label_f01e8231-d2ac-4398-bac1-28dfcc71348e_SiteId">
    <vt:lpwstr>15bbbd45-801e-4e97-b5b8-bebef99178d3</vt:lpwstr>
  </property>
  <property fmtid="{D5CDD505-2E9C-101B-9397-08002B2CF9AE}" pid="8" name="MSIP_Label_f01e8231-d2ac-4398-bac1-28dfcc71348e_ActionId">
    <vt:lpwstr>9b70c5df-7784-496b-9569-4ed954808170</vt:lpwstr>
  </property>
  <property fmtid="{D5CDD505-2E9C-101B-9397-08002B2CF9AE}" pid="9" name="MSIP_Label_f01e8231-d2ac-4398-bac1-28dfcc71348e_ContentBits">
    <vt:lpwstr>1</vt:lpwstr>
  </property>
  <property fmtid="{D5CDD505-2E9C-101B-9397-08002B2CF9AE}" pid="10" name="MediaServiceImageTags">
    <vt:lpwstr/>
  </property>
  <property fmtid="{D5CDD505-2E9C-101B-9397-08002B2CF9AE}" pid="11" name="_dlc_DocIdItemGuid">
    <vt:lpwstr>1bfed892-7a01-4ff5-a2b9-1ab5175cbec6</vt:lpwstr>
  </property>
</Properties>
</file>