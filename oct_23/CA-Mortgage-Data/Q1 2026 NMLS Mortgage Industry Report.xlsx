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xr:revisionPtr revIDLastSave="649" documentId="11_1A657E45AE6D5421686A2981E0C283D7E6DBA696" xr6:coauthVersionLast="47" xr6:coauthVersionMax="47" xr10:uidLastSave="{880890B9-53BB-4D2B-81B6-791AA2A329BF}"/>
  <bookViews>
    <workbookView xWindow="-120" yWindow="-120" windowWidth="29040" windowHeight="15720" xr2:uid="{B99EC07B-C793-450F-A8ED-CBC369BA3C9D}"/>
  </bookViews>
  <sheets>
    <sheet name="Title" sheetId="2" r:id="rId1"/>
    <sheet name="Mortgage Entities in NMLS" sheetId="3" r:id="rId2"/>
    <sheet name="Counts by State Agency" sheetId="13" r:id="rId3"/>
    <sheet name="Company License Activity" sheetId="17" r:id="rId4"/>
    <sheet name="Individual License Activity" sheetId="18" r:id="rId5"/>
    <sheet name="MCR Originations" sheetId="23" r:id="rId6"/>
    <sheet name="MCR MLOs" sheetId="22" r:id="rId7"/>
    <sheet name="Federal Registrations" sheetId="25" r:id="rId8"/>
  </sheets>
  <definedNames>
    <definedName name="Pivo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<sst xmlns="http://schemas.openxmlformats.org/spreadsheetml/2006/main" count="1243" uniqueCount="210">
  <si>
    <t>NMLS Mortgage Industry Report</t>
  </si>
  <si>
    <t>Conference of State Bank Supervisors</t>
  </si>
  <si>
    <t>1300 I Street NW, Suite 700 East</t>
  </si>
  <si>
    <t>Washington, D.C.  20005</t>
  </si>
  <si>
    <t>1. Mortgage Entities in NMLS</t>
  </si>
  <si>
    <t>State-Licensed Entities</t>
  </si>
  <si>
    <t>Type</t>
  </si>
  <si>
    <t>Unique Entities</t>
  </si>
  <si>
    <t>Over-The-Year Growth, Entities</t>
  </si>
  <si>
    <t>Licenses</t>
  </si>
  <si>
    <t>Over-The-Year Growth, Licenses</t>
  </si>
  <si>
    <t>Company</t>
  </si>
  <si>
    <t>Branch</t>
  </si>
  <si>
    <t>Individual</t>
  </si>
  <si>
    <t>Counts for company and branch include companies holding an approved state license or a state registration through NMLS. License counts include separate licenses required for other trade names in certain states and multiple licenses for different authorities (e.g., lender and broker) in certain states.</t>
  </si>
  <si>
    <t>Federally Registered Entities</t>
  </si>
  <si>
    <t>Over the Year Growth</t>
  </si>
  <si>
    <t>Dual Entities</t>
  </si>
  <si>
    <t>Note</t>
  </si>
  <si>
    <t>A few companies and MLOs hold both an approved state license and an active federal registration.</t>
  </si>
  <si>
    <t>Unique Individuals</t>
  </si>
  <si>
    <t>⁶</t>
  </si>
  <si>
    <t>⁸</t>
  </si>
  <si>
    <t>⁵</t>
  </si>
  <si>
    <t>⁴</t>
  </si>
  <si>
    <t>COMPANY</t>
  </si>
  <si>
    <t>BRANCH</t>
  </si>
  <si>
    <t>INDIVIDUAL</t>
  </si>
  <si>
    <t>State Agency</t>
  </si>
  <si>
    <t>Companies</t>
  </si>
  <si>
    <r>
      <t>Annual Percentage Change</t>
    </r>
    <r>
      <rPr>
        <b/>
        <vertAlign val="superscript"/>
        <sz val="11"/>
        <color rgb="FF000000"/>
        <rFont val="Calibri"/>
        <family val="2"/>
      </rPr>
      <t>2</t>
    </r>
  </si>
  <si>
    <r>
      <t>Located in the State</t>
    </r>
    <r>
      <rPr>
        <b/>
        <vertAlign val="superscript"/>
        <sz val="11"/>
        <color rgb="FF000000"/>
        <rFont val="Calibri"/>
        <family val="2"/>
      </rPr>
      <t>3</t>
    </r>
  </si>
  <si>
    <t>Branches</t>
  </si>
  <si>
    <t>Individuals</t>
  </si>
  <si>
    <t>Average Individuals Per Company</t>
  </si>
  <si>
    <t>Alabama</t>
  </si>
  <si>
    <t>Alaska</t>
  </si>
  <si>
    <t>Arizona</t>
  </si>
  <si>
    <t>44926</t>
  </si>
  <si>
    <t>Arkansas</t>
  </si>
  <si>
    <t>California DRE</t>
  </si>
  <si>
    <t>California DFPI</t>
  </si>
  <si>
    <t>Colorado</t>
  </si>
  <si>
    <t>=TEXT(IFERROR(VLOOKUP(A11,'MLOs per Company'!A:D,4,FALSE),"-"),"#,##0.0")&amp;$K$1</t>
  </si>
  <si>
    <t>Connecticut</t>
  </si>
  <si>
    <t>Delaware</t>
  </si>
  <si>
    <t>District of Columbia</t>
  </si>
  <si>
    <t>Florida</t>
  </si>
  <si>
    <t>Georgia</t>
  </si>
  <si>
    <t>Guam</t>
  </si>
  <si>
    <t>Hawaii</t>
  </si>
  <si>
    <t>Idaho</t>
  </si>
  <si>
    <t>Illinois</t>
  </si>
  <si>
    <t>Indiana DFI</t>
  </si>
  <si>
    <t>Indiana SOS</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</si>
  <si>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</si>
  <si>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</si>
  <si>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</si>
  <si>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</si>
  <si>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</si>
  <si>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</si>
  <si>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</si>
  <si>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</si>
  <si>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</si>
  <si>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</si>
  <si>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</si>
  <si>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</si>
  <si>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</si>
  <si>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</si>
  <si>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</si>
  <si>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</si>
  <si>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</si>
  <si>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</si>
  <si>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</si>
  <si>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</si>
  <si>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</si>
  <si>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 DCC</t>
  </si>
  <si>
    <t>Oregon</t>
  </si>
  <si>
    <t>Pennsylvania</t>
  </si>
  <si>
    <t>Puerto Rico</t>
  </si>
  <si>
    <t>Rhode Island</t>
  </si>
  <si>
    <t>South Carolina BFI</t>
  </si>
  <si>
    <t>South Carolina DCA</t>
  </si>
  <si>
    <t>South Dakota</t>
  </si>
  <si>
    <t>Tennessee</t>
  </si>
  <si>
    <t>Texas OCCC</t>
  </si>
  <si>
    <t>Texas SML</t>
  </si>
  <si>
    <t>Utah DFI</t>
  </si>
  <si>
    <t>Utah DRE</t>
  </si>
  <si>
    <t>Vermont</t>
  </si>
  <si>
    <t>Virgin Islands</t>
  </si>
  <si>
    <t>Virginia</t>
  </si>
  <si>
    <t>Washington</t>
  </si>
  <si>
    <t>West Virginia</t>
  </si>
  <si>
    <t>Wisconsin</t>
  </si>
  <si>
    <t>Wyoming</t>
  </si>
  <si>
    <t>Nationwide</t>
  </si>
  <si>
    <t>-</t>
  </si>
  <si>
    <t>Notes</t>
  </si>
  <si>
    <t>1. This report counts the number of companies, branches, and MLOs in each state, regardless of the number of licenses these entities may hold in each state. Thus, if a company holds two licenses within a state (e.g., broker and lender), the company is only counted once. The same is true for the average MLOs per company. Nationwide figures, similarly, only count each company, branch or individual once.</t>
  </si>
  <si>
    <t>2. Percentage change indicates the overall increase or decrease in licensed entities that occurred over the previous 12 months.</t>
  </si>
  <si>
    <t>3. Located in the state means that the company's headquarters, as identified on their NMLS Company Form, is located in the state, or the MLO's work address, as identified on their NMLS Individual Form, is located in the state.</t>
  </si>
  <si>
    <t>4. Texas OCCC did not manage mortgage company licensing through NMLS in 2023Q2.</t>
  </si>
  <si>
    <t>5. The following agencies did not manage mortgage branch licensing through NMLS in 2023Q2: Colorado, Indiana DFI, Michigan, South Dakota, Texas OCCC, Utah DFI.</t>
  </si>
  <si>
    <t>6. The following agencies do not require sponsorship of MLOs by the employing company: Florida, Texas OCCC, Utah DFI.  The number of MLOs located in these states may be undercounted, and the calculation of average MLOs per company may not be as precise in these states as in the others.</t>
  </si>
  <si>
    <t>New Applications</t>
  </si>
  <si>
    <t>Applications Processed</t>
  </si>
  <si>
    <t>License Expirations</t>
  </si>
  <si>
    <t>Approved</t>
  </si>
  <si>
    <t>Denied</t>
  </si>
  <si>
    <t>Withdrawn</t>
  </si>
  <si>
    <t>Revoked</t>
  </si>
  <si>
    <t>Surrendered</t>
  </si>
  <si>
    <t>Terminated</t>
  </si>
  <si>
    <t>National</t>
  </si>
  <si>
    <t>1. Texas OCCC did not manage mortgage company licensing through NMLS in 2023Q2.</t>
  </si>
  <si>
    <t>2. The Hawaii Division of Financial Institutions indicated they cannot release the number of license applications denied.</t>
  </si>
  <si>
    <t>Definitions</t>
  </si>
  <si>
    <r>
      <rPr>
        <b/>
        <sz val="10"/>
        <rFont val="Calibri"/>
        <family val="2"/>
      </rPr>
      <t xml:space="preserve">Approved: </t>
    </r>
    <r>
      <rPr>
        <sz val="10"/>
        <rFont val="Calibri"/>
        <family val="2"/>
      </rPr>
      <t xml:space="preserve">Status assigned when regulator has reviewed the license/registration application and decided to issue a license to the applicant through NMLS. </t>
    </r>
  </si>
  <si>
    <r>
      <rPr>
        <b/>
        <sz val="10"/>
        <rFont val="Calibri"/>
        <family val="2"/>
      </rPr>
      <t xml:space="preserve">Denied: </t>
    </r>
    <r>
      <rPr>
        <sz val="10"/>
        <rFont val="Calibri"/>
        <family val="2"/>
      </rPr>
      <t xml:space="preserve">Status assigned when a regulator has reviewed the license/registration application and determined that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</si>
  <si>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t>
    </r>
  </si>
  <si>
    <r>
      <rPr>
        <b/>
        <sz val="10"/>
        <rFont val="Calibri"/>
        <family val="2"/>
      </rPr>
      <t xml:space="preserve">Revoked: </t>
    </r>
    <r>
      <rPr>
        <sz val="10"/>
        <rFont val="Calibri"/>
        <family val="2"/>
      </rPr>
      <t>Status assigned when a regulator has taken action to revoke the license/registration. Pursuant to federal SAFE Act legislation, placement of a MLO license into this status will render the MLO unable to obtain or maintain a license to conduct mortgage business in any jurisdiction.</t>
    </r>
  </si>
  <si>
    <r>
      <rPr>
        <b/>
        <sz val="10"/>
        <rFont val="Calibri"/>
        <family val="2"/>
      </rPr>
      <t xml:space="preserve">Surrendered: </t>
    </r>
    <r>
      <rPr>
        <sz val="10"/>
        <rFont val="Calibri"/>
        <family val="2"/>
      </rPr>
      <t xml:space="preserve">Status assigned when a regulator approved a surrender/cancellation request submitted by the licensee/registrant. </t>
    </r>
  </si>
  <si>
    <r>
      <rPr>
        <b/>
        <sz val="10"/>
        <rFont val="Calibri"/>
        <family val="2"/>
      </rPr>
      <t xml:space="preserve">Terminated: </t>
    </r>
    <r>
      <rPr>
        <sz val="10"/>
        <rFont val="Calibri"/>
        <family val="2"/>
      </rPr>
      <t xml:space="preserve">Status assigned when a regulator expires a license/registration. </t>
    </r>
  </si>
  <si>
    <t>(1)</t>
  </si>
  <si>
    <t>1. The Hawaii Division of Financial Institutions indicated they cannot release the number of license applications denied.</t>
  </si>
  <si>
    <r>
      <rPr>
        <b/>
        <sz val="10"/>
        <rFont val="Calibri"/>
        <family val="2"/>
      </rPr>
      <t xml:space="preserve">Denied: </t>
    </r>
    <r>
      <rPr>
        <sz val="10"/>
        <rFont val="Calibri"/>
        <family val="2"/>
      </rPr>
      <t xml:space="preserve">Status assigned when a regulator has reviewed the license/registration application and determined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</si>
  <si>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 </t>
    </r>
  </si>
  <si>
    <r>
      <rPr>
        <b/>
        <sz val="10"/>
        <rFont val="Calibri"/>
        <family val="2"/>
      </rPr>
      <t xml:space="preserve">Revoked: </t>
    </r>
    <r>
      <rPr>
        <sz val="10"/>
        <rFont val="Calibri"/>
        <family val="2"/>
      </rPr>
      <t xml:space="preserve">Status assigned when a regulator has taken action to revoke the license/registration. Pursuant to federal SAFE Act legislation, placement of a MLO license into this status will render the MLO unable to obtain or maintain a license to conduct mortgage business in any jurisdiction. </t>
    </r>
  </si>
  <si>
    <t>5. Mortgage Call Report: Loan Originations</t>
  </si>
  <si>
    <t>Year</t>
  </si>
  <si>
    <t>Quarter</t>
  </si>
  <si>
    <t>Filing Quarter</t>
  </si>
  <si>
    <t>Home Purchase</t>
  </si>
  <si>
    <t>Refinancing</t>
  </si>
  <si>
    <t>Home Improvement</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</si>
  <si>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</si>
  <si>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</si>
  <si>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</si>
  <si>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</si>
  <si>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</si>
  <si>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</si>
  <si>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</si>
  <si>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</si>
  <si>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</si>
  <si>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</si>
  <si>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</si>
  <si>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</si>
  <si>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</si>
  <si>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</si>
  <si>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</si>
  <si>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</si>
  <si>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</si>
  <si>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</si>
  <si>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</si>
  <si>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6. Mortgage Call Report: Loan Originators</t>
  </si>
  <si>
    <t>Active MLOs (originated at least 1 loan in the quarter)</t>
  </si>
  <si>
    <t>Active MLOs</t>
  </si>
  <si>
    <t>State</t>
  </si>
  <si>
    <t>Total</t>
  </si>
  <si>
    <t>FDIC</t>
  </si>
  <si>
    <t>FRB</t>
  </si>
  <si>
    <t>NCUA</t>
  </si>
  <si>
    <t>OCC</t>
  </si>
  <si>
    <t>FCA</t>
  </si>
  <si>
    <t>California</t>
  </si>
  <si>
    <t>Indiana</t>
  </si>
  <si>
    <t>Oklahoma</t>
  </si>
  <si>
    <t>South Carolina</t>
  </si>
  <si>
    <t>Texas</t>
  </si>
  <si>
    <t>Utah</t>
  </si>
  <si>
    <t xml:space="preserve">The number of MLOs in each state is determined by the work address provided in each MLO's record. </t>
  </si>
  <si>
    <r>
      <rPr>
        <b/>
        <sz val="10"/>
        <rFont val="Calibri"/>
        <family val="2"/>
      </rPr>
      <t>FDIC</t>
    </r>
    <r>
      <rPr>
        <sz val="10"/>
        <rFont val="Calibri"/>
        <family val="2"/>
      </rPr>
      <t xml:space="preserve"> - Federal Deposit Insurance Corporation</t>
    </r>
  </si>
  <si>
    <r>
      <rPr>
        <b/>
        <sz val="10"/>
        <rFont val="Calibri"/>
        <family val="2"/>
      </rPr>
      <t>FRB</t>
    </r>
    <r>
      <rPr>
        <sz val="10"/>
        <rFont val="Calibri"/>
        <family val="2"/>
      </rPr>
      <t xml:space="preserve"> - Board of Governors of the Federal Reserve Board</t>
    </r>
  </si>
  <si>
    <r>
      <rPr>
        <b/>
        <sz val="10"/>
        <rFont val="Calibri"/>
        <family val="2"/>
      </rPr>
      <t>NCUA</t>
    </r>
    <r>
      <rPr>
        <sz val="10"/>
        <rFont val="Calibri"/>
        <family val="2"/>
      </rPr>
      <t xml:space="preserve"> - National Credit Union Administration</t>
    </r>
  </si>
  <si>
    <r>
      <rPr>
        <b/>
        <sz val="10"/>
        <rFont val="Calibri"/>
        <family val="2"/>
      </rPr>
      <t>OCC</t>
    </r>
    <r>
      <rPr>
        <sz val="10"/>
        <rFont val="Calibri"/>
        <family val="2"/>
      </rPr>
      <t xml:space="preserve"> - Office of the Comptroller of the Currency</t>
    </r>
  </si>
  <si>
    <r>
      <rPr>
        <b/>
        <sz val="10"/>
        <rFont val="Calibri"/>
        <family val="2"/>
      </rPr>
      <t>FCA</t>
    </r>
    <r>
      <rPr>
        <sz val="10"/>
        <rFont val="Calibri"/>
        <family val="2"/>
      </rPr>
      <t xml:space="preserve"> - Farm Credit Administration</t>
    </r>
  </si>
  <si>
    <t>FedMLOLocation FederalRegulatorCode</t>
  </si>
  <si>
    <t>FRB-FB</t>
  </si>
  <si>
    <t>OCC-FB</t>
  </si>
  <si>
    <t>OTS</t>
  </si>
  <si>
    <t>PICU</t>
  </si>
  <si>
    <t>FedMLOLocation StateCode</t>
  </si>
  <si>
    <t>Number of MLOs Last Year</t>
  </si>
  <si>
    <t>Number of MLOs This Year</t>
  </si>
  <si>
    <t>Annual Percentage Change</t>
  </si>
  <si>
    <t>2026Q1 Update</t>
  </si>
  <si>
    <t>Produced Jun 8, 2026</t>
  </si>
  <si>
    <t>Unless otherwise noted, all figures cover 2026Q1 activity, or statuses as of March 31, 2026.</t>
  </si>
  <si>
    <t>2. State-Licensed Mortgage Entities¹, March 31, 2026</t>
  </si>
  <si>
    <t>3. 2026Q1 State Licensing Activities: Mortgage Company Licenses¹</t>
  </si>
  <si>
    <t>4. 2026Q1 State Licensing Activities: Mortgage Individual Licenses</t>
  </si>
  <si>
    <t>2025Q4</t>
  </si>
  <si>
    <t>2026Q1</t>
  </si>
  <si>
    <t>7. Federally Registered Mortgage Loan Originators, March 31, 2026</t>
  </si>
  <si>
    <t>-⁵</t>
  </si>
  <si>
    <t>-⁶</t>
  </si>
  <si>
    <t>-⁴</t>
  </si>
  <si>
    <t>-²</t>
  </si>
  <si>
    <t>-¹</t>
  </si>
  <si>
    <t>2021</t>
  </si>
  <si>
    <t>Q1</t>
  </si>
  <si>
    <t>Q2</t>
  </si>
  <si>
    <t>Q3</t>
  </si>
  <si>
    <t>Q4</t>
  </si>
  <si>
    <t>2022</t>
  </si>
  <si>
    <t>2023</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</si>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</sst>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E+###"/>
    <numFmt numFmtId="165" formatCode="#,##0.0%"/>
    <numFmt numFmtId="167" formatCode="_(* #,##0_);_(* \(#,##0\);_(* &quot;-&quot;??_);_(@_)"/>
    <numFmt numFmtId="168" formatCode="_(* #,##0.0_);_(* \(#,##0.0\);_(* &quot;-&quot;??_);_(@_)"/>
    <numFmt numFmtId="169" formatCode="0.0%"/>
    <numFmt numFmtId="170" formatCode="&quot;$&quot;#,##0;\(&quot;$&quot;#,##0\)"/>
    <numFmt numFmtId="171" formatCode="&quot;$&quot;#,##0"/>
    <numFmt numFmtId="172" formatCode="##############"/>
  </numFmts>
  <fonts count="53" x14ac:knownFonts="1">
    <font>
      <sz val="11"/>
      <color theme="1"/>
      <name val="Calibri"/>
      <family val="2"/>
      <scheme val="minor"/>
    </font>
    <font>
      <b/>
      <sz val="11"/>
      <color theme="1"/>
      <name val="Calibri"/>
      <family val="2"/>
      <scheme val="minor"/>
    </font>
    <font>
      <b/>
      <sz val="24"/>
      <color theme="1"/>
      <name val="Arial"/>
      <family val="2"/>
    </font>
    <font>
      <sz val="24"/>
      <color theme="1"/>
      <name val="Calibri"/>
      <family val="2"/>
      <scheme val="minor"/>
    </font>
    <font>
      <b/>
      <sz val="14"/>
      <color rgb="FF1F497D"/>
      <name val="Cambria"/>
      <family val="1"/>
    </font>
    <font>
      <b/>
      <i/>
      <sz val="11"/>
      <color theme="1"/>
      <name val="Cambria"/>
      <family val="1"/>
    </font>
    <font>
      <b/>
      <sz val="11"/>
      <color rgb="FFFFFFFF"/>
      <name val="Calibri"/>
      <family val="2"/>
      <scheme val="minor"/>
    </font>
    <font>
      <b/>
      <sz val="11"/>
      <color rgb="FF333333"/>
      <name val="Calibri"/>
      <family val="2"/>
      <scheme val="minor"/>
    </font>
    <font>
      <sz val="11"/>
      <color rgb="FF333333"/>
      <name val="Calibri"/>
      <family val="2"/>
      <scheme val="minor"/>
    </font>
    <font>
      <sz val="10"/>
      <color theme="1"/>
      <name val="Calibri"/>
      <family val="2"/>
      <scheme val="minor"/>
    </font>
    <font>
      <b/>
      <i/>
      <sz val="11"/>
      <color theme="1"/>
      <name val="Calibri"/>
      <family val="2"/>
      <scheme val="minor"/>
    </font>
    <font>
      <b/>
      <u/>
      <sz val="11"/>
      <color rgb="FF000000"/>
      <name val="Calibri"/>
      <family val="2"/>
      <scheme val="minor"/>
    </font>
    <font>
      <b/>
      <sz val="11"/>
      <color theme="0"/>
      <name val="Calibri"/>
      <family val="2"/>
      <scheme val="minor"/>
    </font>
    <font>
      <sz val="11"/>
      <name val="Calibri"/>
      <family val="2"/>
      <scheme val="minor"/>
    </font>
    <font>
      <sz val="8"/>
      <color indexed="63"/>
      <name val="Tahoma"/>
      <family val="2"/>
    </font>
    <font>
      <sz val="10"/>
      <name val="Arial"/>
      <family val="2"/>
    </font>
    <font>
      <sz val="10"/>
      <name val="MS Sans Serif"/>
      <family val="2"/>
    </font>
    <font>
      <sz val="10"/>
      <name val="Calibri"/>
      <family val="2"/>
      <scheme val="minor"/>
    </font>
    <font>
      <sz val="10"/>
      <name val="Calibri"/>
      <family val="2"/>
    </font>
    <font>
      <sz val="14"/>
      <name val="Calibri"/>
      <family val="2"/>
      <scheme val="minor"/>
    </font>
    <font>
      <sz val="11"/>
      <color rgb="FF000000"/>
      <name val="Calibri"/>
      <family val="2"/>
      <scheme val="minor"/>
    </font>
    <font>
      <vertAlign val="superscript"/>
      <sz val="10"/>
      <name val="Calibri"/>
      <family val="2"/>
    </font>
    <font>
      <sz val="10"/>
      <color rgb="FF000000"/>
      <name val="Calibri"/>
      <family val="2"/>
      <scheme val="minor"/>
    </font>
    <font>
      <sz val="14"/>
      <name val="Calibri"/>
      <family val="2"/>
    </font>
    <font>
      <b/>
      <sz val="14"/>
      <color rgb="FFFFFFFF"/>
      <name val="Calibri"/>
      <family val="2"/>
    </font>
    <font>
      <b/>
      <sz val="11"/>
      <color rgb="FF000000"/>
      <name val="Calibri"/>
      <family val="2"/>
    </font>
    <font>
      <b/>
      <vertAlign val="superscript"/>
      <sz val="11"/>
      <color rgb="FF000000"/>
      <name val="Calibri"/>
      <family val="2"/>
    </font>
    <font>
      <sz val="11"/>
      <color rgb="FF000000"/>
      <name val="Calibri"/>
      <family val="2"/>
    </font>
    <font>
      <b/>
      <sz val="14"/>
      <color rgb="FF000000"/>
      <name val="Calibri"/>
      <family val="2"/>
    </font>
    <font>
      <b/>
      <sz val="14"/>
      <color rgb="FF365E92"/>
      <name val="Cambria"/>
      <family val="1"/>
    </font>
    <font>
      <b/>
      <u/>
      <sz val="10"/>
      <name val="Calibri"/>
      <family val="2"/>
      <scheme val="minor"/>
    </font>
    <font>
      <b/>
      <i/>
      <sz val="11"/>
      <name val="Cambria"/>
      <family val="1"/>
    </font>
    <font>
      <sz val="10"/>
      <color indexed="63"/>
      <name val="Calibri"/>
      <family val="2"/>
      <scheme val="minor"/>
    </font>
    <font>
      <sz val="11"/>
      <name val="Calibri"/>
      <family val="2"/>
    </font>
    <font>
      <b/>
      <sz val="11"/>
      <color rgb="FF333333"/>
      <name val="Calibri"/>
      <family val="2"/>
    </font>
    <font>
      <sz val="11"/>
      <color rgb="FF333333"/>
      <name val="Calibri"/>
      <family val="2"/>
    </font>
    <font>
      <sz val="8"/>
      <color rgb="FF333333"/>
      <name val="Tahoma"/>
      <family val="2"/>
    </font>
    <font>
      <sz val="9"/>
      <color rgb="FF333333"/>
      <name val="Calibri"/>
      <family val="2"/>
    </font>
    <font>
      <b/>
      <sz val="11"/>
      <name val="Calibri"/>
      <family val="2"/>
    </font>
    <font>
      <b/>
      <u/>
      <sz val="10"/>
      <name val="Calibri"/>
      <family val="2"/>
    </font>
    <font>
      <sz val="10"/>
      <color rgb="FF000000"/>
      <name val="Calibri"/>
      <family val="2"/>
    </font>
    <font>
      <b/>
      <sz val="10"/>
      <name val="Calibri"/>
      <family val="2"/>
    </font>
    <font>
      <b/>
      <sz val="14"/>
      <color rgb="FF366092"/>
      <name val="Cambria"/>
      <family val="1"/>
    </font>
    <font>
      <sz val="8"/>
      <color theme="0"/>
      <name val="Tahoma"/>
      <family val="2"/>
    </font>
    <font>
      <b/>
      <sz val="8"/>
      <color theme="0"/>
      <name val="Tahoma"/>
      <family val="2"/>
    </font>
    <font>
      <sz val="10"/>
      <color theme="0"/>
      <name val="Arial"/>
      <family val="2"/>
    </font>
    <font>
      <b/>
      <i/>
      <sz val="11"/>
      <color indexed="8"/>
      <name val="Cambria"/>
      <family val="1"/>
    </font>
    <font>
      <b/>
      <sz val="8"/>
      <color rgb="FF363636"/>
      <name val="Tahoma"/>
      <family val="2"/>
    </font>
    <font>
      <sz val="8"/>
      <color rgb="FF363636"/>
      <name val="Tahoma"/>
      <family val="2"/>
    </font>
    <font>
      <b/>
      <sz val="8"/>
      <color theme="1"/>
      <name val="Tahoma"/>
      <family val="2"/>
    </font>
    <font>
      <sz val="11"/>
      <color theme="1"/>
      <name val="Calibri"/>
      <family val="2"/>
      <scheme val="minor"/>
    </font>
    <font>
      <sz val="8"/>
      <name val="Calibri"/>
      <family val="2"/>
      <scheme val="minor"/>
    </font>
    <font>
      <sz val="8"/>
      <color indexed="63"/>
      <name val="Tahoma"/>
    </font>
  </fonts>
  <fills count="8">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1F497D"/>
        <bgColor indexed="64"/>
      </patternFill>
    </fill>
    <fill>
      <patternFill patternType="solid">
        <fgColor rgb="FF8DB4E2"/>
        <bgColor indexed="64"/>
      </patternFill>
    </fill>
    <fill>
      <patternFill patternType="solid">
        <fgColor theme="0"/>
        <bgColor indexed="64"/>
      </patternFill>
    </fill>
    <fill>
      <patternFill patternType="solid">
        <fgColor rgb="FFF5F5F5"/>
        <bgColor indexed="64"/>
      </patternFill>
    </fill>
  </fills>
  <borders count="37">
    <border>
      <left/>
      <right/>
      <top/>
      <bottom/>
      <diagonal/>
    </border>
    <border>
      <left/>
      <right/>
      <top style="medium">
        <color rgb="FF4F81BD"/>
      </top>
      <bottom/>
      <diagonal/>
    </border>
    <border>
      <left style="medium">
        <color rgb="FF4F81BD"/>
      </left>
      <right/>
      <top/>
      <bottom/>
      <diagonal/>
    </border>
    <border>
      <left style="medium">
        <color theme="3"/>
      </left>
      <right style="medium">
        <color theme="3"/>
      </right>
      <top style="thin">
        <color theme="3"/>
      </top>
      <bottom style="thin">
        <color theme="3"/>
      </bottom>
      <diagonal/>
    </border>
    <border>
      <left style="thin">
        <color theme="3"/>
      </left>
      <right style="medium">
        <color theme="3"/>
      </right>
      <top style="thin">
        <color theme="3"/>
      </top>
      <bottom style="thin">
        <color theme="3"/>
      </bottom>
      <diagonal/>
    </border>
    <border>
      <left style="medium">
        <color rgb="FF1F497D"/>
      </left>
      <right style="medium">
        <color rgb="FF1F497D"/>
      </right>
      <top style="medium">
        <color rgb="FF1F497D"/>
      </top>
      <bottom style="thin">
        <color rgb="FF1F497D"/>
      </bottom>
      <diagonal/>
    </border>
    <border>
      <left style="medium">
        <color rgb="FF1F497D"/>
      </left>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medium">
        <color rgb="FF1F497D"/>
      </right>
      <top style="thin">
        <color rgb="FF1F497D"/>
      </top>
      <bottom style="thin">
        <color rgb="FF1F497D"/>
      </bottom>
      <diagonal/>
    </border>
    <border>
      <left/>
      <right style="medium">
        <color rgb="FF1F497D"/>
      </right>
      <top style="thin">
        <color rgb="FF1F497D"/>
      </top>
      <bottom style="thin">
        <color rgb="FF1F497D"/>
      </bottom>
      <diagonal/>
    </border>
    <border>
      <left style="medium">
        <color rgb="FF1F497D"/>
      </left>
      <right/>
      <top style="thin">
        <color rgb="FF1F497D"/>
      </top>
      <bottom style="thin">
        <color rgb="FF1F497D"/>
      </bottom>
      <diagonal/>
    </border>
    <border>
      <left style="medium">
        <color rgb="FF1F497D"/>
      </left>
      <right/>
      <top style="thin">
        <color rgb="FF1F497D"/>
      </top>
      <bottom style="medium">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medium">
        <color rgb="FF1F497D"/>
      </left>
      <right style="medium">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right/>
      <top/>
      <bottom style="thin">
        <color auto="1"/>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rgb="FF1F497D"/>
      </right>
      <top/>
      <bottom style="medium">
        <color rgb="FF1F497D"/>
      </bottom>
      <diagonal/>
    </border>
    <border>
      <left style="medium">
        <color rgb="FF1F497D"/>
      </left>
      <right/>
      <top/>
      <bottom style="thin">
        <color rgb="FF1F497D"/>
      </bottom>
      <diagonal/>
    </border>
    <border>
      <left style="medium">
        <color rgb="FF1F497D"/>
      </left>
      <right style="medium">
        <color rgb="FF1F497D"/>
      </right>
      <top/>
      <bottom style="thin">
        <color rgb="FF1F497D"/>
      </bottom>
      <diagonal/>
    </border>
    <border>
      <left style="medium">
        <color rgb="FF1F497D"/>
      </left>
      <right/>
      <top style="thin">
        <color rgb="FF1F497D"/>
      </top>
      <bottom/>
      <diagonal/>
    </border>
    <border>
      <left/>
      <right/>
      <top style="medium">
        <color rgb="FF1F497D"/>
      </top>
      <bottom/>
      <diagonal/>
    </border>
    <border>
      <left style="thin">
        <color theme="3"/>
      </left>
      <right style="thin">
        <color theme="3"/>
      </right>
      <top style="thin">
        <color theme="3"/>
      </top>
      <bottom style="thin">
        <color theme="3"/>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right/>
      <top/>
      <bottom style="medium">
        <color rgb="FF4F81BD"/>
      </bottom>
      <diagonal/>
    </border>
    <border>
      <left/>
      <right style="medium">
        <color rgb="FF4F81BD"/>
      </right>
      <top/>
      <bottom style="medium">
        <color rgb="FF4F81BD"/>
      </bottom>
      <diagonal/>
    </border>
    <border>
      <left/>
      <right/>
      <top style="medium">
        <color rgb="FF4F81BD"/>
      </top>
      <bottom style="medium">
        <color rgb="FF4F81BD"/>
      </bottom>
      <diagonal/>
    </border>
    <border>
      <left style="medium">
        <color rgb="FF1F497D"/>
      </left>
      <right/>
      <top style="medium">
        <color rgb="FF1F497D"/>
      </top>
      <bottom style="medium">
        <color rgb="FF1F497D"/>
      </bottom>
      <diagonal/>
    </border>
    <border>
      <left/>
      <right style="medium">
        <color rgb="FF1F497D"/>
      </right>
      <top style="medium">
        <color rgb="FF1F497D"/>
      </top>
      <bottom style="medium">
        <color rgb="FF1F497D"/>
      </bottom>
      <diagonal/>
    </border>
    <border>
      <left style="thin">
        <color rgb="FFDCDCDC"/>
      </left>
      <right style="thin">
        <color rgb="FFDCDCDC"/>
      </right>
      <top style="thin">
        <color rgb="FFDCDCDC"/>
      </top>
      <bottom style="thin">
        <color rgb="FFDCDCDC"/>
      </bottom>
      <diagonal/>
    </border>
    <border>
      <left style="medium">
        <color rgb="FFDCDCDC"/>
      </left>
      <right style="thin">
        <color rgb="FFDCDCDC"/>
      </right>
      <top style="thin">
        <color rgb="FFDCDCDC"/>
      </top>
      <bottom style="thin">
        <color rgb="FFDCDCDC"/>
      </bottom>
      <diagonal/>
    </border>
    <border>
      <left style="thin">
        <color rgb="FFDCDCDC"/>
      </left>
      <right style="medium">
        <color rgb="FFDCDCDC"/>
      </right>
      <top style="medium">
        <color rgb="FFDCDCDC"/>
      </top>
      <bottom style="thin">
        <color rgb="FFDCDCDC"/>
      </bottom>
      <diagonal/>
    </border>
  </borders>
  <cellStyleXfs count="8">
    <xf numFmtId="0" fontId="0" fillId="0" borderId="0"/>
    <xf numFmtId="0" fontId="15"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43" fontId="50" fillId="0" borderId="0" applyFont="0" applyFill="0" applyBorder="0" applyAlignment="0" applyProtection="0"/>
  </cellStyleXfs>
  <cellXfs count="152">
    <xf numFmtId="0" fontId="0" fillId="0" borderId="0" xfId="0"/>
    <xf numFmtId="0" fontId="18" fillId="0" borderId="0" xfId="0" applyFont="1" applyAlignment="1">
      <alignment wrapText="1"/>
    </xf>
    <xf numFmtId="0" fontId="24" fillId="4" borderId="5" xfId="0" applyFont="1" applyFill="1" applyBorder="1" applyAlignment="1">
      <alignment horizontal="center" vertical="center" wrapText="1"/>
    </xf>
    <xf numFmtId="0" fontId="2" fillId="0" borderId="0" xfId="0" applyFont="1" applyAlignment="1">
      <alignment horizontal="left" vertical="center"/>
    </xf>
    <xf numFmtId="0" fontId="3" fillId="0" borderId="0" xfId="0" applyFont="1" applyAlignment="1">
      <alignment horizontal="left"/>
    </xf>
    <xf numFmtId="0" fontId="0" fillId="0" borderId="0" xfId="0" applyAlignment="1">
      <alignment horizontal="left"/>
    </xf>
    <xf numFmtId="0" fontId="0" fillId="0" borderId="0" xfId="0" applyAlignment="1">
      <alignment vertical="center"/>
    </xf>
    <xf numFmtId="0" fontId="1" fillId="0" borderId="0" xfId="0" applyFont="1"/>
    <xf numFmtId="0" fontId="4" fillId="0" borderId="0" xfId="0" applyFont="1" applyAlignment="1">
      <alignment vertical="center"/>
    </xf>
    <xf numFmtId="0" fontId="5"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0" fontId="6" fillId="2" borderId="0" xfId="0" applyFont="1" applyFill="1" applyAlignment="1">
      <alignment vertical="center"/>
    </xf>
    <xf numFmtId="0" fontId="6" fillId="2" borderId="0" xfId="0" applyFont="1" applyFill="1" applyAlignment="1">
      <alignment vertical="center" wrapText="1"/>
    </xf>
    <xf numFmtId="0" fontId="7" fillId="3" borderId="1" xfId="0" applyFont="1" applyFill="1" applyBorder="1" applyAlignment="1">
      <alignment vertical="center" wrapText="1"/>
    </xf>
    <xf numFmtId="0" fontId="0" fillId="0" borderId="2" xfId="0" applyBorder="1"/>
    <xf numFmtId="0" fontId="13" fillId="0" borderId="0" xfId="0" applyFont="1"/>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7" fillId="0" borderId="0" xfId="0" applyFont="1"/>
    <xf numFmtId="0" fontId="18" fillId="0" borderId="0" xfId="0" applyFont="1"/>
    <xf numFmtId="0" fontId="15" fillId="0" borderId="0" xfId="0" applyFont="1"/>
    <xf numFmtId="0" fontId="19" fillId="0" borderId="0" xfId="0" applyFont="1"/>
    <xf numFmtId="0" fontId="17" fillId="0" borderId="0" xfId="0" applyFont="1" applyAlignment="1">
      <alignment wrapText="1"/>
    </xf>
    <xf numFmtId="0" fontId="21" fillId="0" borderId="0" xfId="0" applyFont="1"/>
    <xf numFmtId="49" fontId="0" fillId="0" borderId="0" xfId="0" applyNumberFormat="1"/>
    <xf numFmtId="167" fontId="22" fillId="0" borderId="3" xfId="2" quotePrefix="1" applyNumberFormat="1" applyFont="1" applyFill="1" applyBorder="1" applyAlignment="1" applyProtection="1">
      <alignment horizontal="right" vertical="center" wrapText="1" indent="1"/>
    </xf>
    <xf numFmtId="168" fontId="20" fillId="0" borderId="4" xfId="2" applyNumberFormat="1" applyFont="1" applyFill="1" applyBorder="1" applyAlignment="1" applyProtection="1">
      <alignment horizontal="right" vertical="center" wrapText="1" indent="1"/>
    </xf>
    <xf numFmtId="168" fontId="0" fillId="0" borderId="0" xfId="2" applyNumberFormat="1" applyFont="1"/>
    <xf numFmtId="168" fontId="16" fillId="0" borderId="0" xfId="2" quotePrefix="1" applyNumberFormat="1" applyFont="1"/>
    <xf numFmtId="0" fontId="23" fillId="0" borderId="0" xfId="0" applyFont="1"/>
    <xf numFmtId="0" fontId="25" fillId="5" borderId="6" xfId="0" applyFont="1" applyFill="1" applyBorder="1" applyAlignment="1">
      <alignment horizontal="center" vertical="center" wrapText="1"/>
    </xf>
    <xf numFmtId="0" fontId="25" fillId="5" borderId="7" xfId="0" applyFont="1" applyFill="1" applyBorder="1" applyAlignment="1">
      <alignment horizontal="center" vertical="center" wrapText="1"/>
    </xf>
    <xf numFmtId="0" fontId="25" fillId="5" borderId="8" xfId="0" applyFont="1" applyFill="1" applyBorder="1" applyAlignment="1">
      <alignment horizontal="center" vertical="center" wrapText="1"/>
    </xf>
    <xf numFmtId="0" fontId="25" fillId="5" borderId="9" xfId="0" applyFont="1" applyFill="1" applyBorder="1" applyAlignment="1">
      <alignment horizontal="center" vertical="center" wrapText="1"/>
    </xf>
    <xf numFmtId="0" fontId="25" fillId="5" borderId="10" xfId="0" applyFont="1" applyFill="1" applyBorder="1" applyAlignment="1">
      <alignment horizontal="center" vertical="center" wrapText="1"/>
    </xf>
    <xf numFmtId="0" fontId="25" fillId="5" borderId="11" xfId="0" applyFont="1" applyFill="1" applyBorder="1" applyAlignment="1">
      <alignment horizontal="center" vertical="center" wrapText="1"/>
    </xf>
    <xf numFmtId="0" fontId="27" fillId="0" borderId="12" xfId="0" applyFont="1" applyBorder="1" applyAlignment="1">
      <alignment vertical="center" wrapText="1"/>
    </xf>
    <xf numFmtId="167" fontId="27" fillId="0" borderId="7" xfId="2" applyNumberFormat="1" applyFont="1" applyFill="1" applyBorder="1" applyAlignment="1" applyProtection="1">
      <alignment horizontal="right" vertical="center" wrapText="1" indent="1"/>
    </xf>
    <xf numFmtId="169" fontId="27" fillId="0" borderId="8" xfId="3" applyNumberFormat="1" applyFont="1" applyFill="1" applyBorder="1" applyAlignment="1" applyProtection="1">
      <alignment horizontal="right" vertical="center" wrapText="1" indent="1"/>
    </xf>
    <xf numFmtId="167" fontId="27" fillId="0" borderId="9" xfId="2" applyNumberFormat="1" applyFont="1" applyFill="1" applyBorder="1" applyAlignment="1" applyProtection="1">
      <alignment horizontal="right" vertical="center" wrapText="1" indent="1"/>
    </xf>
    <xf numFmtId="167" fontId="27" fillId="0" borderId="10" xfId="2" applyNumberFormat="1" applyFont="1" applyFill="1" applyBorder="1" applyAlignment="1" applyProtection="1">
      <alignment horizontal="right" vertical="center" wrapText="1" indent="1"/>
    </xf>
    <xf numFmtId="167" fontId="27" fillId="0" borderId="8" xfId="2" applyNumberFormat="1" applyFont="1" applyFill="1" applyBorder="1" applyAlignment="1" applyProtection="1">
      <alignment horizontal="right" vertical="center" wrapText="1" indent="1"/>
    </xf>
    <xf numFmtId="168" fontId="27" fillId="0" borderId="9" xfId="2" applyNumberFormat="1" applyFont="1" applyFill="1" applyBorder="1" applyAlignment="1" applyProtection="1">
      <alignment horizontal="right" vertical="center" wrapText="1" indent="1"/>
    </xf>
    <xf numFmtId="0" fontId="28" fillId="5" borderId="13" xfId="0" applyFont="1" applyFill="1" applyBorder="1" applyAlignment="1">
      <alignment horizontal="left" vertical="center" wrapText="1"/>
    </xf>
    <xf numFmtId="167" fontId="25" fillId="5" borderId="14" xfId="2" applyNumberFormat="1" applyFont="1" applyFill="1" applyBorder="1" applyAlignment="1" applyProtection="1">
      <alignment horizontal="right" vertical="center" wrapText="1" indent="1"/>
    </xf>
    <xf numFmtId="169" fontId="25" fillId="5" borderId="15" xfId="3" applyNumberFormat="1" applyFont="1" applyFill="1" applyBorder="1" applyAlignment="1" applyProtection="1">
      <alignment horizontal="right" vertical="center" wrapText="1" indent="1"/>
    </xf>
    <xf numFmtId="169" fontId="25" fillId="5" borderId="15" xfId="3" quotePrefix="1" applyNumberFormat="1" applyFont="1" applyFill="1" applyBorder="1" applyAlignment="1" applyProtection="1">
      <alignment horizontal="right" vertical="center" wrapText="1" indent="1"/>
    </xf>
    <xf numFmtId="167" fontId="25" fillId="5" borderId="16" xfId="2" applyNumberFormat="1" applyFont="1" applyFill="1" applyBorder="1" applyAlignment="1" applyProtection="1">
      <alignment horizontal="right" vertical="center" wrapText="1" indent="1"/>
    </xf>
    <xf numFmtId="168" fontId="25" fillId="5" borderId="17" xfId="2" applyNumberFormat="1" applyFont="1" applyFill="1" applyBorder="1" applyAlignment="1" applyProtection="1">
      <alignment horizontal="right" vertical="center" wrapText="1" indent="1"/>
    </xf>
    <xf numFmtId="0" fontId="29" fillId="0" borderId="18" xfId="0" applyFont="1" applyBorder="1"/>
    <xf numFmtId="0" fontId="0" fillId="0" borderId="18" xfId="0" applyBorder="1"/>
    <xf numFmtId="0" fontId="16" fillId="0" borderId="0" xfId="0" applyFont="1"/>
    <xf numFmtId="0" fontId="30" fillId="0" borderId="0" xfId="0" applyFont="1"/>
    <xf numFmtId="167" fontId="17" fillId="0" borderId="0" xfId="2" applyNumberFormat="1" applyFont="1"/>
    <xf numFmtId="168" fontId="17" fillId="0" borderId="0" xfId="2" applyNumberFormat="1" applyFont="1"/>
    <xf numFmtId="167" fontId="17" fillId="0" borderId="0" xfId="2" applyNumberFormat="1" applyFont="1" applyAlignment="1"/>
    <xf numFmtId="168" fontId="17" fillId="0" borderId="0" xfId="2" applyNumberFormat="1" applyFont="1" applyAlignment="1"/>
    <xf numFmtId="0" fontId="29" fillId="0" borderId="18" xfId="0" applyFont="1" applyBorder="1" applyAlignment="1">
      <alignment vertical="center"/>
    </xf>
    <xf numFmtId="0" fontId="31" fillId="0" borderId="0" xfId="0" applyFont="1" applyAlignment="1">
      <alignment vertical="center"/>
    </xf>
    <xf numFmtId="0" fontId="33" fillId="0" borderId="0" xfId="0" applyFont="1"/>
    <xf numFmtId="0" fontId="25" fillId="5" borderId="19" xfId="0" applyFont="1" applyFill="1" applyBorder="1" applyAlignment="1">
      <alignment vertical="center" wrapText="1"/>
    </xf>
    <xf numFmtId="49" fontId="34" fillId="5" borderId="20" xfId="0" applyNumberFormat="1" applyFont="1" applyFill="1" applyBorder="1" applyAlignment="1">
      <alignment horizontal="center"/>
    </xf>
    <xf numFmtId="49" fontId="34" fillId="5" borderId="19" xfId="0" applyNumberFormat="1" applyFont="1" applyFill="1" applyBorder="1" applyAlignment="1">
      <alignment horizontal="center"/>
    </xf>
    <xf numFmtId="164" fontId="35" fillId="3" borderId="21" xfId="0" applyNumberFormat="1" applyFont="1" applyFill="1" applyBorder="1"/>
    <xf numFmtId="167" fontId="35" fillId="3" borderId="22" xfId="0" applyNumberFormat="1" applyFont="1" applyFill="1" applyBorder="1"/>
    <xf numFmtId="164" fontId="35" fillId="3" borderId="12" xfId="0" applyNumberFormat="1" applyFont="1" applyFill="1" applyBorder="1"/>
    <xf numFmtId="164" fontId="35" fillId="3" borderId="23" xfId="0" applyNumberFormat="1" applyFont="1" applyFill="1" applyBorder="1"/>
    <xf numFmtId="167" fontId="38" fillId="5" borderId="16" xfId="0" applyNumberFormat="1" applyFont="1" applyFill="1" applyBorder="1"/>
    <xf numFmtId="164" fontId="36" fillId="3" borderId="24" xfId="0" applyNumberFormat="1" applyFont="1" applyFill="1" applyBorder="1"/>
    <xf numFmtId="0" fontId="39" fillId="0" borderId="0" xfId="0" applyFont="1"/>
    <xf numFmtId="0" fontId="40" fillId="0" borderId="0" xfId="0" applyFont="1" applyAlignment="1">
      <alignment vertical="center"/>
    </xf>
    <xf numFmtId="0" fontId="40" fillId="0" borderId="0" xfId="0" applyFont="1" applyAlignment="1">
      <alignment vertical="center" wrapText="1"/>
    </xf>
    <xf numFmtId="167" fontId="32" fillId="0" borderId="25" xfId="0" quotePrefix="1" applyNumberFormat="1" applyFont="1" applyBorder="1" applyAlignment="1">
      <alignment horizontal="right"/>
    </xf>
    <xf numFmtId="0" fontId="42" fillId="0" borderId="18" xfId="0" applyFont="1" applyBorder="1" applyAlignment="1">
      <alignment vertical="center"/>
    </xf>
    <xf numFmtId="0" fontId="33" fillId="0" borderId="18" xfId="0" applyFont="1" applyBorder="1"/>
    <xf numFmtId="167" fontId="37" fillId="3" borderId="8" xfId="0" quotePrefix="1" applyNumberFormat="1" applyFont="1" applyFill="1" applyBorder="1" applyAlignment="1">
      <alignment horizontal="right"/>
    </xf>
    <xf numFmtId="167" fontId="34" fillId="5" borderId="22" xfId="0" applyNumberFormat="1" applyFont="1" applyFill="1" applyBorder="1"/>
    <xf numFmtId="167" fontId="35" fillId="3" borderId="22" xfId="0" applyNumberFormat="1" applyFont="1" applyFill="1" applyBorder="1" applyAlignment="1">
      <alignment horizontal="right"/>
    </xf>
    <xf numFmtId="0" fontId="15" fillId="0" borderId="0" xfId="4"/>
    <xf numFmtId="0" fontId="15" fillId="0" borderId="0" xfId="5"/>
    <xf numFmtId="169" fontId="0" fillId="0" borderId="0" xfId="6" applyNumberFormat="1" applyFont="1"/>
    <xf numFmtId="10" fontId="0" fillId="0" borderId="0" xfId="6" applyNumberFormat="1" applyFont="1"/>
    <xf numFmtId="49" fontId="14" fillId="0" borderId="0" xfId="4" applyNumberFormat="1" applyFont="1"/>
    <xf numFmtId="170" fontId="14" fillId="0" borderId="0" xfId="4" applyNumberFormat="1" applyFont="1"/>
    <xf numFmtId="171" fontId="14" fillId="0" borderId="0" xfId="4" applyNumberFormat="1" applyFont="1"/>
    <xf numFmtId="49" fontId="43" fillId="0" borderId="0" xfId="4" applyNumberFormat="1" applyFont="1"/>
    <xf numFmtId="0" fontId="45" fillId="0" borderId="0" xfId="5" applyFont="1"/>
    <xf numFmtId="0" fontId="14" fillId="0" borderId="0" xfId="4" applyFont="1"/>
    <xf numFmtId="0" fontId="4" fillId="0" borderId="0" xfId="0" applyFont="1"/>
    <xf numFmtId="0" fontId="25" fillId="5" borderId="5"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25" fillId="5" borderId="27" xfId="0" applyFont="1" applyFill="1" applyBorder="1" applyAlignment="1">
      <alignment horizontal="center" vertical="center" wrapText="1"/>
    </xf>
    <xf numFmtId="0" fontId="25" fillId="5" borderId="28" xfId="0" applyFont="1" applyFill="1" applyBorder="1" applyAlignment="1">
      <alignment horizontal="center" vertical="center" wrapText="1"/>
    </xf>
    <xf numFmtId="0" fontId="33" fillId="0" borderId="10" xfId="0" applyFont="1" applyBorder="1" applyAlignment="1">
      <alignment vertical="center"/>
    </xf>
    <xf numFmtId="167" fontId="25" fillId="0" borderId="7" xfId="2" applyNumberFormat="1" applyFont="1" applyFill="1" applyBorder="1" applyAlignment="1">
      <alignment horizontal="right" vertical="center"/>
    </xf>
    <xf numFmtId="167" fontId="33" fillId="0" borderId="7" xfId="2" applyNumberFormat="1" applyFont="1" applyFill="1" applyBorder="1" applyAlignment="1">
      <alignment horizontal="right" vertical="center"/>
    </xf>
    <xf numFmtId="167" fontId="33" fillId="0" borderId="8" xfId="2" applyNumberFormat="1" applyFont="1" applyFill="1" applyBorder="1" applyAlignment="1">
      <alignment horizontal="right" vertical="center"/>
    </xf>
    <xf numFmtId="167" fontId="33" fillId="0" borderId="9" xfId="2" applyNumberFormat="1" applyFont="1" applyFill="1" applyBorder="1" applyAlignment="1">
      <alignment horizontal="right" vertical="center"/>
    </xf>
    <xf numFmtId="0" fontId="28" fillId="5" borderId="16" xfId="0" applyFont="1" applyFill="1" applyBorder="1" applyAlignment="1">
      <alignment horizontal="left" vertical="center" wrapText="1"/>
    </xf>
    <xf numFmtId="167" fontId="25" fillId="5" borderId="14" xfId="2" applyNumberFormat="1" applyFont="1" applyFill="1" applyBorder="1" applyAlignment="1" applyProtection="1">
      <alignment vertical="center" wrapText="1"/>
    </xf>
    <xf numFmtId="167" fontId="38" fillId="5" borderId="14" xfId="2" applyNumberFormat="1" applyFont="1" applyFill="1" applyBorder="1" applyAlignment="1">
      <alignment vertical="center"/>
    </xf>
    <xf numFmtId="167" fontId="38" fillId="5" borderId="15" xfId="2" applyNumberFormat="1" applyFont="1" applyFill="1" applyBorder="1" applyAlignment="1">
      <alignment vertical="center"/>
    </xf>
    <xf numFmtId="167" fontId="38" fillId="5" borderId="17" xfId="2" applyNumberFormat="1" applyFont="1" applyFill="1" applyBorder="1" applyAlignment="1">
      <alignment vertical="center"/>
    </xf>
    <xf numFmtId="167" fontId="33" fillId="0" borderId="0" xfId="2" applyNumberFormat="1" applyFont="1" applyFill="1" applyBorder="1"/>
    <xf numFmtId="167" fontId="25" fillId="0" borderId="0" xfId="2" applyNumberFormat="1" applyFont="1" applyFill="1" applyBorder="1"/>
    <xf numFmtId="167" fontId="18" fillId="0" borderId="0" xfId="2" applyNumberFormat="1" applyFont="1" applyFill="1" applyBorder="1"/>
    <xf numFmtId="0" fontId="46" fillId="0" borderId="0" xfId="0" applyFont="1" applyAlignment="1">
      <alignment vertical="center"/>
    </xf>
    <xf numFmtId="0" fontId="1" fillId="0" borderId="29" xfId="0" applyFont="1" applyBorder="1" applyAlignment="1">
      <alignment vertical="center" wrapText="1"/>
    </xf>
    <xf numFmtId="3" fontId="0" fillId="0" borderId="0" xfId="0" applyNumberFormat="1"/>
    <xf numFmtId="169" fontId="0" fillId="0" borderId="0" xfId="0" applyNumberFormat="1"/>
    <xf numFmtId="169" fontId="6" fillId="2" borderId="0" xfId="0" applyNumberFormat="1" applyFont="1" applyFill="1" applyAlignment="1">
      <alignment vertical="center" wrapText="1"/>
    </xf>
    <xf numFmtId="3" fontId="49" fillId="7" borderId="34" xfId="0" applyNumberFormat="1" applyFont="1" applyFill="1" applyBorder="1" applyAlignment="1">
      <alignment horizontal="right" vertical="center"/>
    </xf>
    <xf numFmtId="172" fontId="49" fillId="7" borderId="34" xfId="0" applyNumberFormat="1" applyFont="1" applyFill="1" applyBorder="1" applyAlignment="1">
      <alignment horizontal="left" vertical="center"/>
    </xf>
    <xf numFmtId="165" fontId="49" fillId="7" borderId="34" xfId="0" applyNumberFormat="1" applyFont="1" applyFill="1" applyBorder="1" applyAlignment="1">
      <alignment horizontal="right" vertical="center"/>
    </xf>
    <xf numFmtId="3" fontId="0" fillId="6" borderId="29" xfId="0" applyNumberFormat="1" applyFill="1" applyBorder="1" applyAlignment="1">
      <alignment vertical="center" wrapText="1"/>
    </xf>
    <xf numFmtId="169" fontId="0" fillId="6" borderId="29" xfId="0" applyNumberFormat="1" applyFill="1" applyBorder="1" applyAlignment="1">
      <alignment vertical="center" wrapText="1"/>
    </xf>
    <xf numFmtId="169" fontId="0" fillId="6" borderId="30" xfId="0" applyNumberFormat="1" applyFill="1" applyBorder="1" applyAlignment="1">
      <alignment vertical="center" wrapText="1"/>
    </xf>
    <xf numFmtId="3" fontId="8" fillId="6" borderId="31" xfId="0" applyNumberFormat="1" applyFont="1" applyFill="1" applyBorder="1" applyAlignment="1">
      <alignment horizontal="right" vertical="center" wrapText="1"/>
    </xf>
    <xf numFmtId="169" fontId="8" fillId="6" borderId="31" xfId="0" applyNumberFormat="1" applyFont="1" applyFill="1" applyBorder="1" applyAlignment="1">
      <alignment horizontal="right" vertical="center" wrapText="1"/>
    </xf>
    <xf numFmtId="0" fontId="7" fillId="0" borderId="1" xfId="0" applyFont="1" applyBorder="1" applyAlignment="1">
      <alignment vertical="center" wrapText="1"/>
    </xf>
    <xf numFmtId="3" fontId="8" fillId="0" borderId="31" xfId="0" applyNumberFormat="1" applyFont="1" applyBorder="1" applyAlignment="1">
      <alignment horizontal="right" vertical="center" wrapText="1"/>
    </xf>
    <xf numFmtId="169" fontId="8" fillId="0" borderId="31" xfId="0" applyNumberFormat="1" applyFont="1" applyBorder="1" applyAlignment="1">
      <alignment horizontal="right" vertical="center" wrapText="1"/>
    </xf>
    <xf numFmtId="164" fontId="36" fillId="0" borderId="0" xfId="0" applyNumberFormat="1" applyFont="1"/>
    <xf numFmtId="167" fontId="37" fillId="0" borderId="0" xfId="0" quotePrefix="1" applyNumberFormat="1" applyFont="1" applyAlignment="1">
      <alignment horizontal="right"/>
    </xf>
    <xf numFmtId="169" fontId="8" fillId="0" borderId="1" xfId="0" applyNumberFormat="1" applyFont="1" applyBorder="1" applyAlignment="1">
      <alignment horizontal="right" vertical="center" wrapText="1"/>
    </xf>
    <xf numFmtId="167" fontId="44" fillId="0" borderId="0" xfId="7" applyNumberFormat="1" applyFont="1"/>
    <xf numFmtId="3" fontId="48" fillId="3" borderId="34" xfId="0" applyNumberFormat="1" applyFont="1" applyFill="1" applyBorder="1" applyAlignment="1">
      <alignment horizontal="right" vertical="center"/>
    </xf>
    <xf numFmtId="172" fontId="48" fillId="3" borderId="34" xfId="0" applyNumberFormat="1" applyFont="1" applyFill="1" applyBorder="1" applyAlignment="1">
      <alignment horizontal="left" vertical="center"/>
    </xf>
    <xf numFmtId="165" fontId="48" fillId="3" borderId="34" xfId="0" applyNumberFormat="1" applyFont="1" applyFill="1" applyBorder="1" applyAlignment="1">
      <alignment horizontal="right" vertical="center"/>
    </xf>
    <xf numFmtId="171" fontId="52" fillId="0" borderId="0" xfId="4" applyNumberFormat="1" applyFont="1"/>
    <xf numFmtId="0" fontId="52" fillId="0" borderId="0" xfId="4" applyFont="1"/>
    <xf numFmtId="0" fontId="52" fillId="0" borderId="0" xfId="5" applyFont="1"/>
    <xf numFmtId="0" fontId="47" fillId="7" borderId="35" xfId="0" applyFont="1" applyFill="1" applyBorder="1" applyAlignment="1">
      <alignment horizontal="left" vertical="center" wrapText="1"/>
    </xf>
    <xf numFmtId="0" fontId="49" fillId="7" borderId="34" xfId="0" applyFont="1" applyFill="1" applyBorder="1" applyAlignment="1">
      <alignment horizontal="left" vertical="center" wrapText="1"/>
    </xf>
    <xf numFmtId="0" fontId="48" fillId="3" borderId="34" xfId="0" applyFont="1" applyFill="1" applyBorder="1" applyAlignment="1">
      <alignment horizontal="left" vertical="center" wrapText="1"/>
    </xf>
    <xf numFmtId="0" fontId="47" fillId="7" borderId="36" xfId="0" applyFont="1" applyFill="1" applyBorder="1" applyAlignment="1">
      <alignment horizontal="left" vertical="center" wrapText="1"/>
    </xf>
    <xf numFmtId="0" fontId="48" fillId="3" borderId="34" xfId="0" applyFont="1" applyFill="1" applyBorder="1" applyAlignment="1">
      <alignment horizontal="right" vertical="center"/>
    </xf>
    <xf numFmtId="0" fontId="9" fillId="0" borderId="0" xfId="0" applyFont="1" applyAlignment="1">
      <alignment vertical="center" wrapText="1"/>
    </xf>
    <xf numFmtId="0" fontId="17" fillId="6" borderId="0" xfId="0" applyFont="1" applyFill="1" applyAlignment="1">
      <alignment horizontal="left" wrapText="1"/>
    </xf>
    <xf numFmtId="0" fontId="22" fillId="6" borderId="0" xfId="0" applyFont="1" applyFill="1" applyAlignment="1">
      <alignment horizontal="left" wrapText="1"/>
    </xf>
    <xf numFmtId="0" fontId="24" fillId="4" borderId="5" xfId="0" applyFont="1" applyFill="1" applyBorder="1" applyAlignment="1">
      <alignment horizontal="center" vertical="center" wrapText="1"/>
    </xf>
    <xf numFmtId="0" fontId="17" fillId="0" borderId="0" xfId="0" applyFont="1" applyAlignment="1">
      <alignment horizontal="left" wrapText="1"/>
    </xf>
    <xf numFmtId="0" fontId="18" fillId="0" borderId="0" xfId="0" applyFont="1" applyAlignment="1">
      <alignment horizontal="left" wrapText="1"/>
    </xf>
    <xf numFmtId="0" fontId="24" fillId="4" borderId="19" xfId="0" applyFont="1" applyFill="1" applyBorder="1" applyAlignment="1">
      <alignment horizontal="center" vertical="center" wrapText="1"/>
    </xf>
    <xf numFmtId="0" fontId="24" fillId="4" borderId="32" xfId="0" applyFont="1" applyFill="1" applyBorder="1" applyAlignment="1">
      <alignment horizontal="center" vertical="center" wrapText="1"/>
    </xf>
    <xf numFmtId="0" fontId="24" fillId="4" borderId="33" xfId="0" applyFont="1" applyFill="1" applyBorder="1" applyAlignment="1">
      <alignment horizontal="center" vertical="center" wrapText="1"/>
    </xf>
    <xf numFmtId="0" fontId="18" fillId="0" borderId="0" xfId="0" applyFont="1" applyAlignment="1">
      <alignment wrapText="1"/>
    </xf>
    <xf numFmtId="0" fontId="40" fillId="0" borderId="0" xfId="0" applyFont="1" applyAlignment="1">
      <alignment horizontal="left" vertical="center" wrapText="1"/>
    </xf>
    <xf numFmtId="0" fontId="39" fillId="0" borderId="0" xfId="0" applyFont="1" applyAlignment="1">
      <alignment horizontal="left" wrapText="1"/>
    </xf>
  </cellXfs>
  <cellStyles count="8">
    <cellStyle name="Comma" xfId="7" builtinId="3"/>
    <cellStyle name="Comma 2" xfId="2" xr:uid="{00000000-0005-0000-0000-000007000000}"/>
    <cellStyle name="Normal" xfId="0" builtinId="0"/>
    <cellStyle name="Normal 2 2" xfId="5" xr:uid="{00000000-0005-0000-0000-00000A000000}"/>
    <cellStyle name="Normal 3" xfId="1" xr:uid="{00000000-0005-0000-0000-000006000000}"/>
    <cellStyle name="Normal 4" xfId="4" xr:uid="{00000000-0005-0000-0000-000009000000}"/>
    <cellStyle name="Percent 2" xfId="3" xr:uid="{00000000-0005-0000-0000-000008000000}"/>
    <cellStyle name="Percent 3" xfId="6" xr:uid="{00000000-0005-0000-0000-00000B000000}"/>
  </cellStyles>
  <dxfs count="34">
    <dxf>
      <font>
        <b val="0"/>
        <i val="0"/>
        <strike val="0"/>
        <u val="none"/>
        <sz val="8"/>
        <color indexed="63"/>
        <name val="Tahoma"/>
        <family val="2"/>
        <scheme val="none"/>
      </font>
      <numFmt numFmtId="167" formatCode="_(* #,##0_);_(* \(#,##0\);_(* &quot;-&quot;??_);_(@_)"/>
      <fill>
        <patternFill patternType="none"/>
      </fill>
    </dxf>
    <dxf>
      <font>
        <sz val="8"/>
        <color indexed="63"/>
        <name val="Tahoma"/>
        <family val="2"/>
        <scheme val="none"/>
      </font>
      <numFmt numFmtId="171" formatCode="&quot;$&quot;#,##0"/>
      <fill>
        <patternFill patternType="none"/>
      </fill>
    </dxf>
    <dxf>
      <font>
        <b val="0"/>
        <i val="0"/>
        <strike val="0"/>
        <u val="none"/>
        <sz val="8"/>
        <color indexed="63"/>
        <name val="Tahoma"/>
        <family val="2"/>
        <scheme val="none"/>
      </font>
      <numFmt numFmtId="171" formatCode="&quot;$&quot;#,##0"/>
      <fill>
        <patternFill patternType="none"/>
      </fill>
    </dxf>
    <dxf>
      <font>
        <b val="0"/>
        <i val="0"/>
        <strike val="0"/>
        <u val="none"/>
        <sz val="8"/>
        <color indexed="63"/>
        <name val="Tahoma"/>
        <family val="2"/>
        <scheme val="none"/>
      </font>
      <numFmt numFmtId="171" formatCode="&quot;$&quot;#,##0"/>
      <fill>
        <patternFill patternType="none"/>
      </fill>
    </dxf>
    <dxf>
      <font>
        <b val="0"/>
        <i val="0"/>
        <strike val="0"/>
        <u val="none"/>
        <sz val="8"/>
        <color indexed="63"/>
        <name val="Tahoma"/>
        <family val="2"/>
        <scheme val="none"/>
      </font>
      <numFmt numFmtId="171" formatCode="&quot;$&quot;#,##0"/>
      <fill>
        <patternFill patternType="none"/>
      </fill>
    </dxf>
    <dxf>
      <font>
        <b val="0"/>
        <i val="0"/>
        <strike val="0"/>
        <u val="none"/>
        <sz val="8"/>
        <color indexed="63"/>
        <name val="Tahoma"/>
        <family val="2"/>
        <scheme val="none"/>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30" formatCode="@"/>
      <fill>
        <patternFill patternType="none"/>
      </fill>
    </dxf>
    <dxf>
      <font>
        <b val="0"/>
        <i val="0"/>
        <strike val="0"/>
        <u val="none"/>
        <sz val="8"/>
        <color theme="0"/>
        <name val="Tahoma"/>
      </font>
      <numFmt numFmtId="30" formatCode="@"/>
      <fill>
        <patternFill patternType="none"/>
      </fill>
    </dxf>
    <dxf>
      <font>
        <b val="0"/>
        <i val="0"/>
        <strike val="0"/>
        <u val="none"/>
        <sz val="8"/>
        <color indexed="63"/>
        <name val="Tahoma"/>
      </font>
      <fill>
        <patternFill patternType="none"/>
      </fill>
    </dxf>
    <dxf>
      <font>
        <b val="0"/>
        <i val="0"/>
        <strike val="0"/>
        <u val="none"/>
        <sz val="8"/>
        <color indexed="63"/>
        <name val="Tahoma"/>
      </font>
      <fill>
        <patternFill patternType="none"/>
      </fill>
    </dxf>
    <dxf>
      <font>
        <strike val="0"/>
        <u val="none"/>
        <color theme="0"/>
      </font>
    </dxf>
    <dxf>
      <font>
        <b val="0"/>
        <i val="0"/>
        <strike val="0"/>
        <u val="none"/>
        <sz val="11"/>
        <color rgb="FF333333"/>
        <name val="Calibri"/>
      </font>
      <numFmt numFmtId="169"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val="0"/>
        <i val="0"/>
        <strike val="0"/>
        <outline val="0"/>
        <shadow val="0"/>
        <u val="none"/>
        <vertAlign val="baseline"/>
        <sz val="11"/>
        <color rgb="FF333333"/>
        <name val="Calibri"/>
        <family val="2"/>
        <scheme val="minor"/>
      </font>
      <numFmt numFmtId="169"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outline val="0"/>
        <shadow val="0"/>
        <u val="none"/>
        <vertAlign val="baseline"/>
        <sz val="11"/>
        <color rgb="FF333333"/>
        <name val="Calibri"/>
        <family val="2"/>
        <scheme val="minor"/>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none">
          <fgColor indexed="64"/>
          <bgColor auto="1"/>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ill>
        <patternFill patternType="none">
          <fgColor indexed="64"/>
          <bgColor auto="1"/>
        </patternFill>
      </fill>
    </dxf>
    <dxf>
      <font>
        <b val="0"/>
        <i val="0"/>
        <strike val="0"/>
        <u val="none"/>
        <sz val="11"/>
        <color rgb="FF333333"/>
        <name val="Calibri"/>
      </font>
      <numFmt numFmtId="169" formatCode="0.0%"/>
      <fill>
        <patternFill patternType="solid">
          <fgColor indexed="64"/>
          <bgColor theme="0"/>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solid">
          <fgColor indexed="64"/>
          <bgColor theme="0"/>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i val="0"/>
        <strike val="0"/>
        <u val="none"/>
        <sz val="11"/>
        <color theme="1"/>
        <name val="Calibri"/>
      </font>
      <numFmt numFmtId="169"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169"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fill>
        <patternFill patternType="none"/>
      </fill>
      <alignment horizontal="general" vertical="center" textRotation="0" wrapText="1" shrinkToFit="0" readingOrder="0"/>
    </dxf>
    <dxf>
      <border>
        <left/>
        <right/>
        <top style="thin">
          <color theme="4" tint="-0.24994659260841701"/>
        </top>
        <bottom style="thin">
          <color theme="4" tint="-0.24994659260841701"/>
        </bottom>
      </border>
    </dxf>
    <dxf>
      <font>
        <strike val="0"/>
        <u val="none"/>
        <sz val="11"/>
        <color theme="1"/>
        <name val="Calibri"/>
      </font>
      <fill>
        <patternFill patternType="none"/>
      </fill>
    </dxf>
    <dxf>
      <font>
        <b/>
        <i val="0"/>
        <strike val="0"/>
        <u val="none"/>
        <sz val="11"/>
        <color theme="0"/>
        <name val="Calibri"/>
      </font>
      <fill>
        <patternFill patternType="solid">
          <bgColor rgb="FF4F81BD"/>
        </patternFill>
      </fill>
      <alignment horizontal="general" vertical="center" textRotation="0" wrapText="1"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25"/>
          <c:y val="5.1499999999999997E-2"/>
          <c:w val="0.82099999999999995"/>
          <c:h val="0.63275000000000003"/>
        </c:manualLayout>
      </c:layout>
      <c:barChart>
        <c:barDir val="col"/>
        <c:grouping val="stacked"/>
        <c:varyColors val="0"/>
        <c:ser>
          <c:idx val="1"/>
          <c:order val="1"/>
          <c:tx>
            <c:strRef>
              <c:f>'MCR Originations'!$C$3</c:f>
              <c:strCache>
                <c:ptCount val="1"/>
                <c:pt idx="0">
                  <c:v>Filing Quarter</c:v>
                </c:pt>
              </c:strCache>
            </c:strRef>
          </c:tx>
          <c:invertIfNegative val="0"/>
          <c:cat>
            <c:strRef>
              <c:f>'MCR Originations'!$A$4:$A$23</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Originations'!$C$4:$C$23</c:f>
            </c:numRef>
          </c:val>
          <c:extLst>
            <c:ext xmlns:c16="http://schemas.microsoft.com/office/drawing/2014/chart" uri="{C3380CC4-5D6E-409C-BE32-E72D297353CC}">
              <c16:uniqueId val="{00000002-CED1-4159-8B41-DE1EC653B9AD}"/>
            </c:ext>
          </c:extLst>
        </c:ser>
        <c:ser>
          <c:idx val="2"/>
          <c:order val="2"/>
          <c:tx>
            <c:strRef>
              <c:f>'MCR Originations'!$D$3</c:f>
              <c:strCache>
                <c:ptCount val="1"/>
                <c:pt idx="0">
                  <c:v>Home Purchase</c:v>
                </c:pt>
              </c:strCache>
            </c:strRef>
          </c:tx>
          <c:invertIfNegative val="0"/>
          <c:cat>
            <c:strRef>
              <c:f>'MCR Originations'!$A$4:$A$23</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Originations'!$D$4:$D$23</c:f>
              <c:numCache>
                <c:formatCode>"$"#,##0</c:formatCode>
                <c:ptCount val="20"/>
                <c:pt idx="0">
                  <c:v>219373193417</c:v>
                </c:pt>
                <c:pt idx="1">
                  <c:v>314601426960</c:v>
                </c:pt>
                <c:pt idx="2">
                  <c:v>316072147908</c:v>
                </c:pt>
                <c:pt idx="3">
                  <c:v>297591856977</c:v>
                </c:pt>
                <c:pt idx="4">
                  <c:v>238982072166</c:v>
                </c:pt>
                <c:pt idx="5">
                  <c:v>287118683822</c:v>
                </c:pt>
                <c:pt idx="6">
                  <c:v>245947072001</c:v>
                </c:pt>
                <c:pt idx="7">
                  <c:v>178586652287</c:v>
                </c:pt>
                <c:pt idx="8">
                  <c:v>172619881784</c:v>
                </c:pt>
                <c:pt idx="9">
                  <c:v>215129508641</c:v>
                </c:pt>
                <c:pt idx="10">
                  <c:v>202782940000</c:v>
                </c:pt>
                <c:pt idx="11">
                  <c:v>171271182864</c:v>
                </c:pt>
                <c:pt idx="12">
                  <c:v>163063857219</c:v>
                </c:pt>
                <c:pt idx="13">
                  <c:v>224555335007</c:v>
                </c:pt>
                <c:pt idx="14">
                  <c:v>219327697165</c:v>
                </c:pt>
                <c:pt idx="15">
                  <c:v>208372466797</c:v>
                </c:pt>
                <c:pt idx="16">
                  <c:v>173190025477</c:v>
                </c:pt>
                <c:pt idx="17">
                  <c:v>243634725911</c:v>
                </c:pt>
                <c:pt idx="18">
                  <c:v>236070315906</c:v>
                </c:pt>
                <c:pt idx="19">
                  <c:v>202508786577</c:v>
                </c:pt>
              </c:numCache>
            </c:numRef>
          </c:val>
          <c:extLst>
            <c:ext xmlns:c16="http://schemas.microsoft.com/office/drawing/2014/chart" uri="{C3380CC4-5D6E-409C-BE32-E72D297353CC}">
              <c16:uniqueId val="{00000003-CED1-4159-8B41-DE1EC653B9AD}"/>
            </c:ext>
          </c:extLst>
        </c:ser>
        <c:ser>
          <c:idx val="3"/>
          <c:order val="3"/>
          <c:tx>
            <c:strRef>
              <c:f>'MCR Originations'!$E$3</c:f>
              <c:strCache>
                <c:ptCount val="1"/>
                <c:pt idx="0">
                  <c:v>Refinancing</c:v>
                </c:pt>
              </c:strCache>
            </c:strRef>
          </c:tx>
          <c:invertIfNegative val="0"/>
          <c:cat>
            <c:strRef>
              <c:f>'MCR Originations'!$A$4:$A$23</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Originations'!$E$4:$E$23</c:f>
              <c:numCache>
                <c:formatCode>"$"#,##0</c:formatCode>
                <c:ptCount val="20"/>
                <c:pt idx="0">
                  <c:v>563437539008</c:v>
                </c:pt>
                <c:pt idx="1">
                  <c:v>411286136949</c:v>
                </c:pt>
                <c:pt idx="2">
                  <c:v>361986896762</c:v>
                </c:pt>
                <c:pt idx="3">
                  <c:v>305425162536</c:v>
                </c:pt>
                <c:pt idx="4">
                  <c:v>202969088691</c:v>
                </c:pt>
                <c:pt idx="5">
                  <c:v>103929411317</c:v>
                </c:pt>
                <c:pt idx="6">
                  <c:v>65135010453</c:v>
                </c:pt>
                <c:pt idx="7">
                  <c:v>34579557665</c:v>
                </c:pt>
                <c:pt idx="8">
                  <c:v>29756524062</c:v>
                </c:pt>
                <c:pt idx="9">
                  <c:v>34358116852</c:v>
                </c:pt>
                <c:pt idx="10">
                  <c:v>34203333984</c:v>
                </c:pt>
                <c:pt idx="11">
                  <c:v>29631641463</c:v>
                </c:pt>
                <c:pt idx="12">
                  <c:v>41213958692</c:v>
                </c:pt>
                <c:pt idx="13">
                  <c:v>43588534080</c:v>
                </c:pt>
                <c:pt idx="14">
                  <c:v>69550819485</c:v>
                </c:pt>
                <c:pt idx="15">
                  <c:v>91560105709</c:v>
                </c:pt>
                <c:pt idx="16">
                  <c:v>60654042091</c:v>
                </c:pt>
                <c:pt idx="17">
                  <c:v>76425810624</c:v>
                </c:pt>
                <c:pt idx="18">
                  <c:v>86094322504</c:v>
                </c:pt>
                <c:pt idx="19">
                  <c:v>156188534135</c:v>
                </c:pt>
              </c:numCache>
            </c:numRef>
          </c:val>
          <c:extLst>
            <c:ext xmlns:c16="http://schemas.microsoft.com/office/drawing/2014/chart" uri="{C3380CC4-5D6E-409C-BE32-E72D297353CC}">
              <c16:uniqueId val="{00000004-CED1-4159-8B41-DE1EC653B9AD}"/>
            </c:ext>
          </c:extLst>
        </c:ser>
        <c:ser>
          <c:idx val="4"/>
          <c:order val="4"/>
          <c:tx>
            <c:strRef>
              <c:f>'MCR Originations'!$F$3</c:f>
              <c:strCache>
                <c:ptCount val="1"/>
                <c:pt idx="0">
                  <c:v>Home Improvement</c:v>
                </c:pt>
              </c:strCache>
            </c:strRef>
          </c:tx>
          <c:invertIfNegative val="0"/>
          <c:cat>
            <c:strRef>
              <c:f>'MCR Originations'!$A$4:$A$23</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Originations'!$F$4:$F$23</c:f>
              <c:numCache>
                <c:formatCode>"$"#,##0</c:formatCode>
                <c:ptCount val="20"/>
                <c:pt idx="0">
                  <c:v>18406907072</c:v>
                </c:pt>
                <c:pt idx="1">
                  <c:v>17517458279</c:v>
                </c:pt>
                <c:pt idx="2">
                  <c:v>21478380391</c:v>
                </c:pt>
                <c:pt idx="3">
                  <c:v>23246609398</c:v>
                </c:pt>
                <c:pt idx="4">
                  <c:v>15859884616</c:v>
                </c:pt>
                <c:pt idx="5">
                  <c:v>8701137353</c:v>
                </c:pt>
                <c:pt idx="6">
                  <c:v>5355093804</c:v>
                </c:pt>
                <c:pt idx="7">
                  <c:v>2869607917</c:v>
                </c:pt>
                <c:pt idx="8">
                  <c:v>2528229390</c:v>
                </c:pt>
                <c:pt idx="9">
                  <c:v>3088014831</c:v>
                </c:pt>
                <c:pt idx="10">
                  <c:v>3259870870</c:v>
                </c:pt>
                <c:pt idx="11">
                  <c:v>2527358372</c:v>
                </c:pt>
                <c:pt idx="12">
                  <c:v>2638062060</c:v>
                </c:pt>
                <c:pt idx="13">
                  <c:v>3005236780</c:v>
                </c:pt>
                <c:pt idx="14">
                  <c:v>3557116719</c:v>
                </c:pt>
                <c:pt idx="15">
                  <c:v>3988367244</c:v>
                </c:pt>
                <c:pt idx="16">
                  <c:v>3627037704</c:v>
                </c:pt>
                <c:pt idx="17">
                  <c:v>4637931858</c:v>
                </c:pt>
                <c:pt idx="18">
                  <c:v>4776965483</c:v>
                </c:pt>
                <c:pt idx="19">
                  <c:v>5018707581</c:v>
                </c:pt>
              </c:numCache>
            </c:numRef>
          </c:val>
          <c:extLst>
            <c:ext xmlns:c16="http://schemas.microsoft.com/office/drawing/2014/chart" uri="{C3380CC4-5D6E-409C-BE32-E72D297353CC}">
              <c16:uniqueId val="{00000005-CED1-4159-8B41-DE1EC653B9AD}"/>
            </c:ext>
          </c:extLst>
        </c:ser>
        <c:dLbls>
          <c:showLegendKey val="0"/>
          <c:showVal val="0"/>
          <c:showCatName val="0"/>
          <c:showSerName val="0"/>
          <c:showPercent val="0"/>
          <c:showBubbleSize val="0"/>
        </c:dLbls>
        <c:gapWidth val="75"/>
        <c:overlap val="100"/>
        <c:axId val="42616948"/>
        <c:axId val="24029478"/>
        <c:extLst>
          <c:ext xmlns:c15="http://schemas.microsoft.com/office/drawing/2012/chart" uri="{02D57815-91ED-43cb-92C2-25804820EDAC}">
            <c15:filteredBarSeries>
              <c15:ser>
                <c:idx val="0"/>
                <c:order val="0"/>
                <c:tx>
                  <c:strRef>
                    <c:extLst>
                      <c:ext uri="{02D57815-91ED-43cb-92C2-25804820EDAC}">
                        <c15:formulaRef>
                          <c15:sqref>'MCR Originations'!$B$3</c15:sqref>
                        </c15:formulaRef>
                      </c:ext>
                    </c:extLst>
                    <c:strCache>
                      <c:ptCount val="1"/>
                      <c:pt idx="0">
                        <c:v>Quarter</c:v>
                      </c:pt>
                    </c:strCache>
                  </c:strRef>
                </c:tx>
                <c:spPr>
                  <a:solidFill>
                    <a:schemeClr val="accent1"/>
                  </a:solidFill>
                  <a:ln>
                    <a:noFill/>
                  </a:ln>
                  <a:effectLst/>
                </c:spPr>
                <c:invertIfNegative val="0"/>
                <c:cat>
                  <c:strRef>
                    <c:extLst>
                      <c:ext uri="{02D57815-91ED-43cb-92C2-25804820EDAC}">
                        <c15:formulaRef>
                          <c15:sqref>'MCR Originations'!$A$4:$A$23</c15:sqref>
                        </c15:formulaRef>
                      </c:ext>
                    </c:extLst>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extLst>
                      <c:ext uri="{02D57815-91ED-43cb-92C2-25804820EDAC}">
                        <c15:formulaRef>
                          <c15:sqref>'MCR Originations'!$B$4:$B$6</c15:sqref>
                        </c15:formulaRef>
                      </c:ext>
                    </c:extLst>
                    <c:numCache>
                      <c:formatCode>"$"#,##0</c:formatCode>
                      <c:ptCount val="3"/>
                      <c:pt idx="0">
                        <c:v>0</c:v>
                      </c:pt>
                      <c:pt idx="1">
                        <c:v>0</c:v>
                      </c:pt>
                      <c:pt idx="2">
                        <c:v>0</c:v>
                      </c:pt>
                    </c:numCache>
                  </c:numRef>
                </c:val>
                <c:extLst>
                  <c:ext xmlns:c16="http://schemas.microsoft.com/office/drawing/2014/chart" uri="{C3380CC4-5D6E-409C-BE32-E72D297353CC}">
                    <c16:uniqueId val="{00000003-706F-4AE2-AEA5-2CDD91E14E2A}"/>
                  </c:ext>
                </c:extLst>
              </c15:ser>
            </c15:filteredBarSeries>
          </c:ext>
        </c:extLst>
      </c:barChart>
      <c:catAx>
        <c:axId val="42616948"/>
        <c:scaling>
          <c:orientation val="minMax"/>
        </c:scaling>
        <c:delete val="0"/>
        <c:axPos val="b"/>
        <c:numFmt formatCode="General" sourceLinked="0"/>
        <c:majorTickMark val="out"/>
        <c:minorTickMark val="none"/>
        <c:tickLblPos val="nextTo"/>
        <c:spPr>
          <a:noFill/>
          <a:ln w="9525" cap="flat" cmpd="sng">
            <a:solidFill>
              <a:schemeClr val="tx1">
                <a:tint val="75000"/>
                <a:shade val="95000"/>
                <a:satMod val="105000"/>
              </a:schemeClr>
            </a:solidFill>
            <a:prstDash val="solid"/>
            <a:round/>
          </a:ln>
          <a:effectLst/>
        </c:spPr>
        <c:txPr>
          <a:bodyPr rot="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24029478"/>
        <c:crosses val="autoZero"/>
        <c:auto val="1"/>
        <c:lblAlgn val="ctr"/>
        <c:lblOffset val="100"/>
        <c:tickLblSkip val="4"/>
        <c:tickMarkSkip val="4"/>
        <c:noMultiLvlLbl val="0"/>
      </c:catAx>
      <c:valAx>
        <c:axId val="24029478"/>
        <c:scaling>
          <c:orientation val="minMax"/>
        </c:scaling>
        <c:delete val="0"/>
        <c:axPos val="l"/>
        <c:numFmt formatCode="&quot;$&quot;#,##0" sourceLinked="1"/>
        <c:majorTickMark val="out"/>
        <c:minorTickMark val="none"/>
        <c:tickLblPos val="nextTo"/>
        <c:spPr>
          <a:noFill/>
          <a:ln w="9525" cap="flat" cmpd="sng">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42616948"/>
        <c:crosses val="autoZero"/>
        <c:crossBetween val="between"/>
        <c:majorUnit val="100000000000"/>
        <c:dispUnits>
          <c:builtInUnit val="billions"/>
          <c:dispUnitsLbl>
            <c:layout>
              <c:manualLayout>
                <c:xMode val="edge"/>
                <c:yMode val="edge"/>
                <c:x val="3.3250000000000002E-2"/>
                <c:y val="0.13475000000000001"/>
              </c:manualLayout>
            </c:layout>
            <c:spPr>
              <a:noFill/>
              <a:ln w="6350">
                <a:noFill/>
              </a:ln>
              <a:effectLst/>
            </c:spPr>
            <c:txPr>
              <a:bodyPr rot="-5400000" vert="horz" wrap="square"/>
              <a:lstStyle/>
              <a:p>
                <a:pPr>
                  <a:defRPr lang="en-US" sz="1000" b="1" i="0" u="none" kern="1200" baseline="0">
                    <a:solidFill>
                      <a:schemeClr val="tx1"/>
                    </a:solidFill>
                    <a:latin typeface="+mn-lt"/>
                    <a:ea typeface="+mn-ea"/>
                    <a:cs typeface="+mn-cs"/>
                  </a:defRPr>
                </a:pPr>
                <a:endParaRPr lang="en-US"/>
              </a:p>
            </c:txPr>
          </c:dispUnitsLbl>
        </c:dispUnits>
      </c:valAx>
      <c:spPr>
        <a:noFill/>
        <a:ln w="6350">
          <a:noFill/>
        </a:ln>
        <a:effectLst/>
      </c:spPr>
    </c:plotArea>
    <c:legend>
      <c:legendPos val="b"/>
      <c:overlay val="0"/>
      <c:spPr>
        <a:noFill/>
        <a:ln w="6350">
          <a:noFill/>
        </a:ln>
        <a:effectLst/>
      </c:spPr>
      <c:txPr>
        <a:bodyPr rot="0" spcFirstLastPara="1" vertOverflow="ellipsis" vert="horz" wrap="square" anchor="ctr" anchorCtr="1"/>
        <a:lstStyle/>
        <a:p>
          <a:pPr algn="ctr">
            <a:defRPr lang="en-US" sz="1000" b="0" i="0" u="non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solidFill>
        <a:schemeClr val="tx1">
          <a:tint val="75000"/>
        </a:schemeClr>
      </a:solidFill>
      <a:prstDash val="solid"/>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lgn="ctr">
              <a:defRPr/>
            </a:pPr>
            <a:r>
              <a:rPr lang="en-US" u="none" baseline="0">
                <a:solidFill>
                  <a:schemeClr val="tx1"/>
                </a:solidFill>
                <a:latin typeface="Calibri"/>
                <a:ea typeface="Calibri"/>
              </a:rPr>
              <a:t>Number of Active MLOs for State-Licensed Companies</a:t>
            </a:r>
          </a:p>
        </c:rich>
      </c:tx>
      <c:overlay val="0"/>
      <c:spPr>
        <a:noFill/>
        <a:ln w="6350">
          <a:noFill/>
        </a:ln>
        <a:effectLst/>
      </c:spPr>
    </c:title>
    <c:autoTitleDeleted val="0"/>
    <c:plotArea>
      <c:layout/>
      <c:lineChart>
        <c:grouping val="standard"/>
        <c:varyColors val="0"/>
        <c:ser>
          <c:idx val="0"/>
          <c:order val="0"/>
          <c:tx>
            <c:strRef>
              <c:f>'MCR MLOs'!$B$4</c:f>
              <c:strCache>
                <c:ptCount val="1"/>
                <c:pt idx="0">
                  <c:v>Quarter</c:v>
                </c:pt>
              </c:strCache>
            </c:strRef>
          </c:tx>
          <c:marker>
            <c:symbol val="none"/>
          </c:marker>
          <c:cat>
            <c:strRef>
              <c:f>'MCR MLOs'!$A$5:$A$25</c:f>
              <c:strCache>
                <c:ptCount val="21"/>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pt idx="20">
                  <c:v>2026</c:v>
                </c:pt>
              </c:strCache>
            </c:strRef>
          </c:cat>
          <c:val>
            <c:numRef>
              <c:f>'MCR MLOs'!$B$5:$B$25</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2-00F1-44EE-BAB1-54C18B167861}"/>
            </c:ext>
          </c:extLst>
        </c:ser>
        <c:ser>
          <c:idx val="1"/>
          <c:order val="1"/>
          <c:tx>
            <c:strRef>
              <c:f>'MCR MLOs'!$C$4</c:f>
              <c:strCache>
                <c:ptCount val="1"/>
                <c:pt idx="0">
                  <c:v>Filing Quarter</c:v>
                </c:pt>
              </c:strCache>
            </c:strRef>
          </c:tx>
          <c:marker>
            <c:symbol val="none"/>
          </c:marker>
          <c:cat>
            <c:strRef>
              <c:f>'MCR MLOs'!$A$5:$A$25</c:f>
              <c:strCache>
                <c:ptCount val="21"/>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pt idx="20">
                  <c:v>2026</c:v>
                </c:pt>
              </c:strCache>
            </c:strRef>
          </c:cat>
          <c:val>
            <c:numRef>
              <c:f>'MCR MLOs'!$C$5:$C$25</c:f>
            </c:numRef>
          </c:val>
          <c:smooth val="0"/>
          <c:extLst>
            <c:ext xmlns:c16="http://schemas.microsoft.com/office/drawing/2014/chart" uri="{C3380CC4-5D6E-409C-BE32-E72D297353CC}">
              <c16:uniqueId val="{00000000-00F1-44EE-BAB1-54C18B167861}"/>
            </c:ext>
          </c:extLst>
        </c:ser>
        <c:ser>
          <c:idx val="2"/>
          <c:order val="2"/>
          <c:tx>
            <c:strRef>
              <c:f>'MCR MLOs'!$D$4</c:f>
              <c:strCache>
                <c:ptCount val="1"/>
                <c:pt idx="0">
                  <c:v> Active MLOs </c:v>
                </c:pt>
              </c:strCache>
            </c:strRef>
          </c:tx>
          <c:spPr>
            <a:ln w="19050" cmpd="sng">
              <a:solidFill>
                <a:schemeClr val="tx2">
                  <a:lumMod val="60000"/>
                  <a:lumOff val="40000"/>
                </a:schemeClr>
              </a:solidFill>
            </a:ln>
            <a:effectLst/>
          </c:spPr>
          <c:marker>
            <c:symbol val="none"/>
          </c:marker>
          <c:cat>
            <c:strRef>
              <c:f>'MCR MLOs'!$A$5:$A$25</c:f>
              <c:strCache>
                <c:ptCount val="21"/>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pt idx="20">
                  <c:v>2026</c:v>
                </c:pt>
              </c:strCache>
            </c:strRef>
          </c:cat>
          <c:val>
            <c:numRef>
              <c:f>'MCR MLOs'!$D$5:$D$25</c:f>
              <c:numCache>
                <c:formatCode>General</c:formatCode>
                <c:ptCount val="21"/>
                <c:pt idx="0">
                  <c:v>117789</c:v>
                </c:pt>
                <c:pt idx="1">
                  <c:v>121245</c:v>
                </c:pt>
                <c:pt idx="2">
                  <c:v>123942</c:v>
                </c:pt>
                <c:pt idx="3">
                  <c:v>124805</c:v>
                </c:pt>
                <c:pt idx="4">
                  <c:v>120157</c:v>
                </c:pt>
                <c:pt idx="5">
                  <c:v>115270</c:v>
                </c:pt>
                <c:pt idx="6">
                  <c:v>105507</c:v>
                </c:pt>
                <c:pt idx="7">
                  <c:v>94091</c:v>
                </c:pt>
                <c:pt idx="8">
                  <c:v>86670</c:v>
                </c:pt>
                <c:pt idx="9">
                  <c:v>90853</c:v>
                </c:pt>
                <c:pt idx="10">
                  <c:v>89299</c:v>
                </c:pt>
                <c:pt idx="11">
                  <c:v>83602</c:v>
                </c:pt>
                <c:pt idx="12">
                  <c:v>82585</c:v>
                </c:pt>
                <c:pt idx="13">
                  <c:v>87633</c:v>
                </c:pt>
                <c:pt idx="14">
                  <c:v>88570</c:v>
                </c:pt>
                <c:pt idx="15">
                  <c:v>88762</c:v>
                </c:pt>
                <c:pt idx="16">
                  <c:v>84675</c:v>
                </c:pt>
                <c:pt idx="17">
                  <c:v>89207</c:v>
                </c:pt>
                <c:pt idx="18">
                  <c:v>89128</c:v>
                </c:pt>
                <c:pt idx="19">
                  <c:v>89566</c:v>
                </c:pt>
                <c:pt idx="20">
                  <c:v>86192</c:v>
                </c:pt>
              </c:numCache>
            </c:numRef>
          </c:val>
          <c:smooth val="0"/>
          <c:extLst>
            <c:ext xmlns:c16="http://schemas.microsoft.com/office/drawing/2014/chart" uri="{C3380CC4-5D6E-409C-BE32-E72D297353CC}">
              <c16:uniqueId val="{00000000-C202-486E-AB3A-CA9169F0235B}"/>
            </c:ext>
          </c:extLst>
        </c:ser>
        <c:dLbls>
          <c:showLegendKey val="0"/>
          <c:showVal val="0"/>
          <c:showCatName val="0"/>
          <c:showSerName val="0"/>
          <c:showPercent val="0"/>
          <c:showBubbleSize val="0"/>
        </c:dLbls>
        <c:smooth val="0"/>
        <c:axId val="9321449"/>
        <c:axId val="9377166"/>
      </c:lineChart>
      <c:catAx>
        <c:axId val="9321449"/>
        <c:scaling>
          <c:orientation val="minMax"/>
        </c:scaling>
        <c:delete val="0"/>
        <c:axPos val="b"/>
        <c:numFmt formatCode="General" sourceLinked="0"/>
        <c:majorTickMark val="out"/>
        <c:minorTickMark val="none"/>
        <c:tickLblPos val="nextTo"/>
        <c:spPr>
          <a:ln w="6350" cap="flat" cmpd="sng"/>
          <a:effectLst/>
        </c:spPr>
        <c:txPr>
          <a:bodyPr rot="0" vert="horz" wrap="square"/>
          <a:lstStyle/>
          <a:p>
            <a:pPr>
              <a:defRPr lang="en-US" sz="1000" u="none" baseline="0">
                <a:solidFill>
                  <a:schemeClr val="tx1"/>
                </a:solidFill>
                <a:latin typeface="Calibri"/>
                <a:ea typeface="Calibri"/>
                <a:cs typeface="Calibri"/>
              </a:defRPr>
            </a:pPr>
            <a:endParaRPr lang="en-US"/>
          </a:p>
        </c:txPr>
        <c:crossAx val="9377166"/>
        <c:crosses val="autoZero"/>
        <c:auto val="1"/>
        <c:lblAlgn val="ctr"/>
        <c:lblOffset val="100"/>
        <c:tickLblSkip val="4"/>
        <c:tickMarkSkip val="4"/>
        <c:noMultiLvlLbl val="0"/>
      </c:catAx>
      <c:valAx>
        <c:axId val="9377166"/>
        <c:scaling>
          <c:orientation val="minMax"/>
        </c:scaling>
        <c:delete val="0"/>
        <c:axPos val="l"/>
        <c:majorGridlines>
          <c:spPr>
            <a:ln w="6350">
              <a:noFill/>
            </a:ln>
            <a:effectLst/>
          </c:spPr>
        </c:majorGridlines>
        <c:title>
          <c:tx>
            <c:rich>
              <a:bodyPr rot="-5400000" vert="horz" wrap="square"/>
              <a:lstStyle/>
              <a:p>
                <a:pPr algn="ctr">
                  <a:defRPr lang="en-US" sz="1000" u="none" baseline="0">
                    <a:solidFill>
                      <a:schemeClr val="tx1"/>
                    </a:solidFill>
                    <a:latin typeface="Calibri"/>
                    <a:ea typeface="Calibri"/>
                  </a:defRPr>
                </a:pPr>
                <a:r>
                  <a:rPr lang="en-US"/>
                  <a:t>Thousands</a:t>
                </a:r>
              </a:p>
            </c:rich>
          </c:tx>
          <c:overlay val="0"/>
          <c:spPr>
            <a:noFill/>
            <a:ln w="6350">
              <a:noFill/>
            </a:ln>
            <a:effectLst/>
          </c:spPr>
        </c:title>
        <c:numFmt formatCode="General" sourceLinked="1"/>
        <c:majorTickMark val="out"/>
        <c:minorTickMark val="none"/>
        <c:tickLblPos val="nextTo"/>
        <c:spPr>
          <a:ln w="6350" cap="flat" cmpd="sng"/>
          <a:effectLst/>
        </c:spPr>
        <c:txPr>
          <a:bodyPr wrap="square"/>
          <a:lstStyle/>
          <a:p>
            <a:pPr>
              <a:defRPr lang="en-US" sz="1000" u="none" baseline="0">
                <a:solidFill>
                  <a:schemeClr val="tx1"/>
                </a:solidFill>
                <a:latin typeface="Calibri"/>
                <a:ea typeface="Calibri"/>
                <a:cs typeface="Calibri"/>
              </a:defRPr>
            </a:pPr>
            <a:endParaRPr lang="en-US"/>
          </a:p>
        </c:txPr>
        <c:crossAx val="9321449"/>
        <c:crosses val="autoZero"/>
        <c:crossBetween val="between"/>
        <c:majorUnit val="20000"/>
        <c:dispUnits>
          <c:builtInUnit val="thousands"/>
        </c:dispUnits>
      </c:valAx>
    </c:plotArea>
    <c:plotVisOnly val="1"/>
    <c:dispBlanksAs val="gap"/>
    <c:showDLblsOverMax val="0"/>
  </c:chart>
  <c:txPr>
    <a:bodyPr rot="0" vert="horz" wrap="square"/>
    <a:lstStyle/>
    <a:p>
      <a:pPr>
        <a:defRPr lang="en-US" sz="1200" u="none" baseline="0">
          <a:solidFill>
            <a:schemeClr val="tx1"/>
          </a:solidFill>
          <a:latin typeface="Calibri"/>
          <a:ea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2743200</xdr:colOff>
      <xdr:row>1</xdr:row>
      <xdr:rowOff>333375</xdr:rowOff>
    </xdr:from>
    <xdr:to>
      <xdr:col>0</xdr:col>
      <xdr:colOff>4267200</xdr:colOff>
      <xdr:row>7</xdr:row>
      <xdr:rowOff>47624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bwMode="auto">
        <a:xfrm>
          <a:off x="2743200" y="714375"/>
          <a:ext cx="1524000" cy="1038225"/>
        </a:xfrm>
        <a:prstGeom prst="rect">
          <a:avLst/>
        </a:prstGeom>
        <a:noFill/>
        <a:ln w="9525">
          <a:noFill/>
          <a:miter lim="800000"/>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21</xdr:row>
      <xdr:rowOff>0</xdr:rowOff>
    </xdr:from>
    <xdr:to>
      <xdr:col>14</xdr:col>
      <xdr:colOff>314325</xdr:colOff>
      <xdr:row>29</xdr:row>
      <xdr:rowOff>28575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111124</xdr:colOff>
      <xdr:row>1</xdr:row>
      <xdr:rowOff>171450</xdr:rowOff>
    </xdr:from>
    <xdr:to>
      <xdr:col>16</xdr:col>
      <xdr:colOff>6350</xdr:colOff>
      <xdr:row>21</xdr:row>
      <xdr:rowOff>171450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6" totalsRowShown="0" headerRowDxfId="33" dataDxfId="32" tableBorderDxfId="31">
  <autoFilter ref="A3:E6"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Type" dataDxfId="30"/>
    <tableColumn id="2" xr3:uid="{00000000-0010-0000-0000-000002000000}" name="Unique Entities" dataDxfId="29"/>
    <tableColumn id="3" xr3:uid="{00000000-0010-0000-0000-000003000000}" name="Over-The-Year Growth, Entities" dataDxfId="28"/>
    <tableColumn id="4" xr3:uid="{00000000-0010-0000-0000-000004000000}" name="Licenses" dataDxfId="27"/>
    <tableColumn id="5" xr3:uid="{00000000-0010-0000-0000-000005000000}" name="Over-The-Year Growth, Licenses" dataDxfId="2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1:C13" totalsRowShown="0" tableBorderDxfId="25">
  <autoFilter ref="A11:C13" xr:uid="{00000000-0009-0000-0100-000003000000}">
    <filterColumn colId="0" hiddenButton="1"/>
    <filterColumn colId="1" hiddenButton="1"/>
    <filterColumn colId="2" hiddenButton="1"/>
  </autoFilter>
  <tableColumns count="3">
    <tableColumn id="1" xr3:uid="{00000000-0010-0000-0100-000001000000}" name="Type" dataDxfId="24"/>
    <tableColumn id="2" xr3:uid="{00000000-0010-0000-0100-000002000000}" name="Unique Entities" dataDxfId="23"/>
    <tableColumn id="3" xr3:uid="{00000000-0010-0000-0100-000003000000}" name="Over the Year Growth" dataDxfId="22"/>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6:C18" totalsRowShown="0" dataDxfId="21" tableBorderDxfId="20">
  <autoFilter ref="A16:C18" xr:uid="{00000000-0009-0000-0100-000004000000}">
    <filterColumn colId="0" hiddenButton="1"/>
    <filterColumn colId="1" hiddenButton="1"/>
    <filterColumn colId="2" hiddenButton="1"/>
  </autoFilter>
  <tableColumns count="3">
    <tableColumn id="1" xr3:uid="{00000000-0010-0000-0200-000001000000}" name="Type" dataDxfId="19"/>
    <tableColumn id="2" xr3:uid="{00000000-0010-0000-0200-000002000000}" name="Unique Entities" dataDxfId="18"/>
    <tableColumn id="3" xr3:uid="{00000000-0010-0000-0200-000003000000}" name="Over the Year Growth" dataDxfId="17"/>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47" displayName="Table47" ref="A23:C24" totalsRowShown="0" tableBorderDxfId="16">
  <tableColumns count="3">
    <tableColumn id="1" xr3:uid="{00000000-0010-0000-0300-000001000000}" name="Type" dataDxfId="15"/>
    <tableColumn id="2" xr3:uid="{00000000-0010-0000-0300-000002000000}" name="Unique Entities" dataDxfId="14"/>
    <tableColumn id="3" xr3:uid="{00000000-0010-0000-0300-000003000000}" name="Over the Year Growth" dataDxfId="1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3:F24" totalsRowShown="0" headerRowDxfId="9" dataDxfId="8">
  <autoFilter ref="A3:F24" xr:uid="{00000000-0009-0000-0100-000005000000}"/>
  <tableColumns count="6">
    <tableColumn id="5" xr3:uid="{00000000-0010-0000-0400-000005000000}" name="Year" dataDxfId="7"/>
    <tableColumn id="6" xr3:uid="{00000000-0010-0000-0400-000006000000}" name="Quarter" dataDxfId="6"/>
    <tableColumn id="1" xr3:uid="{00000000-0010-0000-0400-000001000000}" name="Filing Quarter" dataDxfId="5" dataCellStyle="Normal 4"/>
    <tableColumn id="2" xr3:uid="{00000000-0010-0000-0400-000002000000}" name="Home Purchase" dataDxfId="4" dataCellStyle="Normal 4"/>
    <tableColumn id="3" xr3:uid="{00000000-0010-0000-0400-000003000000}" name="Refinancing" dataDxfId="3" dataCellStyle="Normal 4"/>
    <tableColumn id="4" xr3:uid="{00000000-0010-0000-0400-000004000000}" name="Home Improvement" dataDxfId="2" dataCellStyle="Normal 4"/>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13" displayName="Table13" ref="A4:D25" totalsRowShown="0" headerRowDxfId="12">
  <autoFilter ref="A4:D25" xr:uid="{00000000-0009-0000-0100-000002000000}"/>
  <tableColumns count="4">
    <tableColumn id="4" xr3:uid="{00000000-0010-0000-0500-000004000000}" name="Year" dataDxfId="11"/>
    <tableColumn id="3" xr3:uid="{00000000-0010-0000-0500-000003000000}" name="Quarter" dataDxfId="10"/>
    <tableColumn id="1" xr3:uid="{00000000-0010-0000-0500-000001000000}" name="Filing Quarter" dataDxfId="1" dataCellStyle="Normal 4"/>
    <tableColumn id="2" xr3:uid="{00000000-0010-0000-0500-000002000000}" name="Active MLOs" dataDxfId="0" dataCellStyle="Normal 4"/>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abSelected="1" workbookViewId="0"/>
  </sheetViews>
  <sheetFormatPr defaultRowHeight="15" x14ac:dyDescent="0.25"/>
  <cols>
    <col min="1" max="1" width="81" bestFit="1" customWidth="1"/>
  </cols>
  <sheetData>
    <row r="1" spans="1:1" ht="30" x14ac:dyDescent="0.25">
      <c r="A1" s="3" t="s">
        <v>0</v>
      </c>
    </row>
    <row r="2" spans="1:1" ht="31.5" x14ac:dyDescent="0.5">
      <c r="A2" s="4" t="s">
        <v>186</v>
      </c>
    </row>
    <row r="3" spans="1:1" x14ac:dyDescent="0.25">
      <c r="A3" s="5"/>
    </row>
    <row r="4" spans="1:1" x14ac:dyDescent="0.25">
      <c r="A4" s="6" t="s">
        <v>187</v>
      </c>
    </row>
    <row r="5" spans="1:1" x14ac:dyDescent="0.25">
      <c r="A5" s="6" t="s">
        <v>1</v>
      </c>
    </row>
    <row r="6" spans="1:1" x14ac:dyDescent="0.25">
      <c r="A6" s="6" t="s">
        <v>2</v>
      </c>
    </row>
    <row r="7" spans="1:1" x14ac:dyDescent="0.25">
      <c r="A7" s="6" t="s">
        <v>3</v>
      </c>
    </row>
    <row r="12" spans="1:1" x14ac:dyDescent="0.25">
      <c r="A12" s="7" t="s">
        <v>188</v>
      </c>
    </row>
  </sheetData>
  <pageMargins left="0.7" right="0.7" top="0.75" bottom="0.75" header="0.3" footer="0.3"/>
  <pageSetup orientation="portrait"/>
  <headerFooter>
    <oddHeader>&amp;C&amp;"Calibri"&amp;10&amp;K000000 Internal Use Only&amp;1#_x000D_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workbookViewId="0"/>
  </sheetViews>
  <sheetFormatPr defaultRowHeight="15" x14ac:dyDescent="0.25"/>
  <cols>
    <col min="1" max="1" width="11.42578125" customWidth="1"/>
    <col min="2" max="2" width="17" customWidth="1"/>
    <col min="3" max="3" width="22.42578125" customWidth="1"/>
    <col min="4" max="4" width="9.140625" customWidth="1"/>
    <col min="5" max="5" width="16.85546875" customWidth="1"/>
  </cols>
  <sheetData>
    <row r="1" spans="1:6" ht="18" x14ac:dyDescent="0.25">
      <c r="A1" s="8" t="s">
        <v>4</v>
      </c>
    </row>
    <row r="2" spans="1:6" x14ac:dyDescent="0.25">
      <c r="A2" s="9" t="s">
        <v>5</v>
      </c>
    </row>
    <row r="3" spans="1:6" s="18" customFormat="1" ht="30" x14ac:dyDescent="0.25">
      <c r="A3" s="19" t="s">
        <v>6</v>
      </c>
      <c r="B3" s="19" t="s">
        <v>7</v>
      </c>
      <c r="C3" s="19" t="s">
        <v>8</v>
      </c>
      <c r="D3" s="20" t="s">
        <v>9</v>
      </c>
      <c r="E3" s="19" t="s">
        <v>10</v>
      </c>
    </row>
    <row r="4" spans="1:6" ht="15" customHeight="1" thickBot="1" x14ac:dyDescent="0.3">
      <c r="A4" s="110" t="s">
        <v>11</v>
      </c>
      <c r="B4" s="117">
        <v>24504</v>
      </c>
      <c r="C4" s="118">
        <v>1.4E-2</v>
      </c>
      <c r="D4" s="117">
        <v>76151</v>
      </c>
      <c r="E4" s="119">
        <v>4.5999999999999999E-2</v>
      </c>
      <c r="F4" s="17"/>
    </row>
    <row r="5" spans="1:6" ht="15" customHeight="1" thickBot="1" x14ac:dyDescent="0.3">
      <c r="A5" s="110" t="s">
        <v>12</v>
      </c>
      <c r="B5" s="117">
        <v>25426</v>
      </c>
      <c r="C5" s="118">
        <v>7.5999999999999998E-2</v>
      </c>
      <c r="D5" s="117">
        <v>91786</v>
      </c>
      <c r="E5" s="119">
        <v>6.0999999999999999E-2</v>
      </c>
      <c r="F5" s="17"/>
    </row>
    <row r="6" spans="1:6" ht="15" customHeight="1" thickBot="1" x14ac:dyDescent="0.3">
      <c r="A6" s="110" t="s">
        <v>13</v>
      </c>
      <c r="B6" s="117">
        <v>180568</v>
      </c>
      <c r="C6" s="118">
        <v>6.0000000000000001E-3</v>
      </c>
      <c r="D6" s="117">
        <v>716305</v>
      </c>
      <c r="E6" s="119">
        <v>8.8999999999999996E-2</v>
      </c>
      <c r="F6" s="17"/>
    </row>
    <row r="7" spans="1:6" ht="15.75" customHeight="1" x14ac:dyDescent="0.25">
      <c r="A7" s="12"/>
      <c r="B7" s="12"/>
      <c r="C7" s="12"/>
      <c r="D7" s="13"/>
      <c r="E7" s="12"/>
    </row>
    <row r="8" spans="1:6" ht="70.5" customHeight="1" x14ac:dyDescent="0.25">
      <c r="A8" s="140" t="s">
        <v>14</v>
      </c>
      <c r="B8" s="140"/>
      <c r="C8" s="140"/>
      <c r="D8" s="140"/>
      <c r="E8" s="140"/>
    </row>
    <row r="10" spans="1:6" x14ac:dyDescent="0.25">
      <c r="A10" s="10" t="s">
        <v>15</v>
      </c>
    </row>
    <row r="11" spans="1:6" ht="15.75" thickBot="1" x14ac:dyDescent="0.3">
      <c r="A11" s="14" t="s">
        <v>6</v>
      </c>
      <c r="B11" s="15" t="s">
        <v>7</v>
      </c>
      <c r="C11" s="15" t="s">
        <v>16</v>
      </c>
    </row>
    <row r="12" spans="1:6" ht="15.75" thickBot="1" x14ac:dyDescent="0.3">
      <c r="A12" s="16" t="s">
        <v>11</v>
      </c>
      <c r="B12" s="120">
        <v>7253</v>
      </c>
      <c r="C12" s="121">
        <v>-2.9000000000000001E-2</v>
      </c>
    </row>
    <row r="13" spans="1:6" ht="15.75" thickBot="1" x14ac:dyDescent="0.3">
      <c r="A13" s="16" t="s">
        <v>13</v>
      </c>
      <c r="B13" s="120">
        <v>351608</v>
      </c>
      <c r="C13" s="121">
        <v>-7.0000000000000001E-3</v>
      </c>
    </row>
    <row r="14" spans="1:6" x14ac:dyDescent="0.25">
      <c r="C14" s="112"/>
    </row>
    <row r="15" spans="1:6" x14ac:dyDescent="0.25">
      <c r="A15" s="10" t="s">
        <v>17</v>
      </c>
      <c r="C15" s="112"/>
    </row>
    <row r="16" spans="1:6" ht="15.75" thickBot="1" x14ac:dyDescent="0.3">
      <c r="A16" s="14" t="s">
        <v>6</v>
      </c>
      <c r="B16" s="15" t="s">
        <v>7</v>
      </c>
      <c r="C16" s="113" t="s">
        <v>16</v>
      </c>
    </row>
    <row r="17" spans="1:5" ht="15.75" thickBot="1" x14ac:dyDescent="0.3">
      <c r="A17" s="122" t="s">
        <v>11</v>
      </c>
      <c r="B17" s="123">
        <v>78</v>
      </c>
      <c r="C17" s="124">
        <v>-3.7999999999999999E-2</v>
      </c>
    </row>
    <row r="18" spans="1:5" ht="15.75" thickBot="1" x14ac:dyDescent="0.3">
      <c r="A18" s="122" t="s">
        <v>13</v>
      </c>
      <c r="B18" s="123">
        <v>2626</v>
      </c>
      <c r="C18" s="124">
        <v>-0.09</v>
      </c>
    </row>
    <row r="19" spans="1:5" x14ac:dyDescent="0.25">
      <c r="A19" s="11" t="s">
        <v>18</v>
      </c>
    </row>
    <row r="20" spans="1:5" ht="25.5" customHeight="1" x14ac:dyDescent="0.25">
      <c r="A20" s="140" t="s">
        <v>19</v>
      </c>
      <c r="B20" s="140"/>
      <c r="C20" s="140"/>
      <c r="D20" s="140"/>
      <c r="E20" s="140"/>
    </row>
    <row r="21" spans="1:5" ht="25.5" customHeight="1" x14ac:dyDescent="0.25"/>
    <row r="22" spans="1:5" x14ac:dyDescent="0.25">
      <c r="A22" s="10" t="s">
        <v>20</v>
      </c>
    </row>
    <row r="23" spans="1:5" ht="15.75" thickBot="1" x14ac:dyDescent="0.3">
      <c r="A23" s="14" t="s">
        <v>6</v>
      </c>
      <c r="B23" s="15" t="s">
        <v>7</v>
      </c>
      <c r="C23" s="15" t="s">
        <v>16</v>
      </c>
    </row>
    <row r="24" spans="1:5" x14ac:dyDescent="0.25">
      <c r="A24" s="16" t="s">
        <v>13</v>
      </c>
      <c r="B24" s="111">
        <v>529550</v>
      </c>
      <c r="C24" s="127">
        <v>-2.0766905617994468E-3</v>
      </c>
    </row>
  </sheetData>
  <mergeCells count="2">
    <mergeCell ref="A8:E8"/>
    <mergeCell ref="A20:E20"/>
  </mergeCells>
  <pageMargins left="0.7" right="0.7" top="0.75" bottom="0.75" header="0.3" footer="0.3"/>
  <pageSetup orientation="portrait" horizontalDpi="360" verticalDpi="360" r:id="rId1"/>
  <headerFooter>
    <oddHeader>&amp;C&amp;"Calibri"&amp;10&amp;K000000 Internal Use Only&amp;1#_x000D_</oddHeader>
  </headerFooter>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2"/>
  <sheetViews>
    <sheetView workbookViewId="0"/>
  </sheetViews>
  <sheetFormatPr defaultRowHeight="15" x14ac:dyDescent="0.25"/>
  <cols>
    <col min="1" max="1" width="18.5703125" customWidth="1"/>
    <col min="2" max="2" width="11.5703125" customWidth="1"/>
    <col min="3" max="3" width="11.85546875" customWidth="1"/>
    <col min="4" max="4" width="12.5703125" customWidth="1"/>
    <col min="5" max="5" width="12.85546875" customWidth="1"/>
    <col min="6" max="8" width="11.5703125" customWidth="1"/>
    <col min="9" max="9" width="14" customWidth="1"/>
    <col min="10" max="10" width="8.85546875" customWidth="1"/>
    <col min="11" max="11" width="80.140625" hidden="1" customWidth="1"/>
    <col min="12" max="12" width="1.5703125" hidden="1" customWidth="1"/>
    <col min="13" max="13" width="6" hidden="1" customWidth="1"/>
    <col min="14" max="14" width="1.5703125" hidden="1" customWidth="1"/>
    <col min="15" max="15" width="0" hidden="1" customWidth="1"/>
  </cols>
  <sheetData>
    <row r="1" spans="1:14" ht="18" x14ac:dyDescent="0.25">
      <c r="A1" s="52" t="s">
        <v>189</v>
      </c>
      <c r="B1" s="53"/>
      <c r="C1" s="53"/>
      <c r="D1" s="53"/>
      <c r="E1" s="53"/>
      <c r="F1" s="53"/>
      <c r="G1" s="53"/>
      <c r="H1" s="53"/>
      <c r="I1" s="53"/>
      <c r="K1" s="22" t="s">
        <v>21</v>
      </c>
      <c r="L1" s="22" t="s">
        <v>22</v>
      </c>
      <c r="M1" s="23" t="s">
        <v>23</v>
      </c>
      <c r="N1" s="21" t="s">
        <v>24</v>
      </c>
    </row>
    <row r="2" spans="1:14" ht="15.75" thickBot="1" x14ac:dyDescent="0.3">
      <c r="K2" s="21"/>
      <c r="L2" s="21"/>
      <c r="M2" s="21"/>
      <c r="N2" s="21"/>
    </row>
    <row r="3" spans="1:14" ht="19.5" thickBot="1" x14ac:dyDescent="0.35">
      <c r="A3" s="32"/>
      <c r="B3" s="143" t="s">
        <v>25</v>
      </c>
      <c r="C3" s="143"/>
      <c r="D3" s="143"/>
      <c r="E3" s="2" t="s">
        <v>26</v>
      </c>
      <c r="F3" s="143" t="s">
        <v>27</v>
      </c>
      <c r="G3" s="143"/>
      <c r="H3" s="143"/>
      <c r="I3" s="143"/>
      <c r="K3" s="24"/>
      <c r="L3" s="24"/>
      <c r="M3" s="24"/>
      <c r="N3" s="24"/>
    </row>
    <row r="4" spans="1:14" ht="47.25" x14ac:dyDescent="0.25">
      <c r="A4" s="33" t="s">
        <v>28</v>
      </c>
      <c r="B4" s="34" t="s">
        <v>29</v>
      </c>
      <c r="C4" s="35" t="s">
        <v>30</v>
      </c>
      <c r="D4" s="36" t="s">
        <v>31</v>
      </c>
      <c r="E4" s="37" t="s">
        <v>32</v>
      </c>
      <c r="F4" s="34" t="s">
        <v>33</v>
      </c>
      <c r="G4" s="35" t="s">
        <v>30</v>
      </c>
      <c r="H4" s="35" t="s">
        <v>31</v>
      </c>
      <c r="I4" s="38" t="s">
        <v>34</v>
      </c>
      <c r="K4" s="25"/>
      <c r="L4" s="25"/>
      <c r="M4" s="25"/>
      <c r="N4" s="25"/>
    </row>
    <row r="5" spans="1:14" x14ac:dyDescent="0.25">
      <c r="A5" s="39" t="s">
        <v>35</v>
      </c>
      <c r="B5" s="40">
        <v>1135</v>
      </c>
      <c r="C5" s="41">
        <v>0.1030126336248785</v>
      </c>
      <c r="D5" s="42">
        <v>120</v>
      </c>
      <c r="E5" s="43">
        <v>1398</v>
      </c>
      <c r="F5" s="40">
        <v>16242</v>
      </c>
      <c r="G5" s="41">
        <v>0.1862401402278703</v>
      </c>
      <c r="H5" s="44">
        <v>1212</v>
      </c>
      <c r="I5" s="45">
        <v>14.83739045764362</v>
      </c>
      <c r="K5" s="30"/>
    </row>
    <row r="6" spans="1:14" ht="15.75" x14ac:dyDescent="0.25">
      <c r="A6" s="39" t="s">
        <v>36</v>
      </c>
      <c r="B6" s="40">
        <v>264</v>
      </c>
      <c r="C6" s="41">
        <v>0.1</v>
      </c>
      <c r="D6" s="42">
        <v>16</v>
      </c>
      <c r="E6" s="43">
        <v>447</v>
      </c>
      <c r="F6" s="40">
        <v>2745</v>
      </c>
      <c r="G6" s="41">
        <v>0.1690800681431005</v>
      </c>
      <c r="H6" s="44">
        <v>147</v>
      </c>
      <c r="I6" s="45">
        <v>11.48444444444444</v>
      </c>
      <c r="K6" s="30"/>
      <c r="M6" s="26">
        <v>1</v>
      </c>
    </row>
    <row r="7" spans="1:14" x14ac:dyDescent="0.25">
      <c r="A7" s="39" t="s">
        <v>37</v>
      </c>
      <c r="B7" s="40">
        <v>1776</v>
      </c>
      <c r="C7" s="41">
        <v>3.8596491228070177E-2</v>
      </c>
      <c r="D7" s="42">
        <v>697</v>
      </c>
      <c r="E7" s="43">
        <v>4677</v>
      </c>
      <c r="F7" s="40">
        <v>25553</v>
      </c>
      <c r="G7" s="41">
        <v>7.8504199552610482E-2</v>
      </c>
      <c r="H7" s="44">
        <v>8139</v>
      </c>
      <c r="I7" s="45">
        <v>15.629581151832459</v>
      </c>
      <c r="K7" s="30"/>
      <c r="M7" s="27" t="s">
        <v>38</v>
      </c>
    </row>
    <row r="8" spans="1:14" x14ac:dyDescent="0.25">
      <c r="A8" s="39" t="s">
        <v>39</v>
      </c>
      <c r="B8" s="40">
        <v>665</v>
      </c>
      <c r="C8" s="41">
        <v>5.0552922590837282E-2</v>
      </c>
      <c r="D8" s="42">
        <v>33</v>
      </c>
      <c r="E8" s="43">
        <v>1461</v>
      </c>
      <c r="F8" s="40">
        <v>9851</v>
      </c>
      <c r="G8" s="41">
        <v>0.19914790018259279</v>
      </c>
      <c r="H8" s="44">
        <v>383</v>
      </c>
      <c r="I8" s="45">
        <v>15.514190317195331</v>
      </c>
      <c r="K8" s="30"/>
    </row>
    <row r="9" spans="1:14" x14ac:dyDescent="0.25">
      <c r="A9" s="39" t="s">
        <v>40</v>
      </c>
      <c r="B9" s="40">
        <v>6379</v>
      </c>
      <c r="C9" s="41">
        <v>-1.528249459709787E-2</v>
      </c>
      <c r="D9" s="42">
        <v>6273</v>
      </c>
      <c r="E9" s="43">
        <v>618</v>
      </c>
      <c r="F9" s="40">
        <v>21215</v>
      </c>
      <c r="G9" s="41">
        <v>-3.5695833920435871E-3</v>
      </c>
      <c r="H9" s="44">
        <v>19448</v>
      </c>
      <c r="I9" s="45">
        <v>2.846597812879708</v>
      </c>
      <c r="K9" s="30"/>
    </row>
    <row r="10" spans="1:14" x14ac:dyDescent="0.25">
      <c r="A10" s="39" t="s">
        <v>41</v>
      </c>
      <c r="B10" s="40">
        <v>4979</v>
      </c>
      <c r="C10" s="41">
        <v>3.8373305526590198E-2</v>
      </c>
      <c r="D10" s="42">
        <v>2275</v>
      </c>
      <c r="E10" s="43">
        <v>7440</v>
      </c>
      <c r="F10" s="40">
        <v>37753</v>
      </c>
      <c r="G10" s="41">
        <v>2.7040996762697569E-2</v>
      </c>
      <c r="H10" s="44">
        <v>14725</v>
      </c>
      <c r="I10" s="45">
        <v>16.113911778962681</v>
      </c>
      <c r="K10" s="30"/>
    </row>
    <row r="11" spans="1:14" x14ac:dyDescent="0.25">
      <c r="A11" s="39" t="s">
        <v>42</v>
      </c>
      <c r="B11" s="40">
        <v>2748</v>
      </c>
      <c r="C11" s="41">
        <v>5.8565153733528552E-3</v>
      </c>
      <c r="D11" s="42">
        <v>774</v>
      </c>
      <c r="E11" s="28" t="s">
        <v>195</v>
      </c>
      <c r="F11" s="40">
        <v>20005</v>
      </c>
      <c r="G11" s="41">
        <v>3.8034454130344543E-2</v>
      </c>
      <c r="H11" s="44">
        <v>3703</v>
      </c>
      <c r="I11" s="45">
        <v>7.7394572025052204</v>
      </c>
      <c r="J11" s="28"/>
      <c r="K11" s="31" t="s">
        <v>43</v>
      </c>
    </row>
    <row r="12" spans="1:14" x14ac:dyDescent="0.25">
      <c r="A12" s="39" t="s">
        <v>44</v>
      </c>
      <c r="B12" s="40">
        <v>865</v>
      </c>
      <c r="C12" s="41">
        <v>3.098927294398093E-2</v>
      </c>
      <c r="D12" s="42">
        <v>136</v>
      </c>
      <c r="E12" s="43">
        <v>1143</v>
      </c>
      <c r="F12" s="40">
        <v>9763</v>
      </c>
      <c r="G12" s="41">
        <v>0.13154844691701439</v>
      </c>
      <c r="H12" s="44">
        <v>1007</v>
      </c>
      <c r="I12" s="45">
        <v>11.64472049689441</v>
      </c>
    </row>
    <row r="13" spans="1:14" x14ac:dyDescent="0.25">
      <c r="A13" s="39" t="s">
        <v>45</v>
      </c>
      <c r="B13" s="40">
        <v>535</v>
      </c>
      <c r="C13" s="41">
        <v>1.518026565464896E-2</v>
      </c>
      <c r="D13" s="42">
        <v>29</v>
      </c>
      <c r="E13" s="43">
        <v>966</v>
      </c>
      <c r="F13" s="40">
        <v>6184</v>
      </c>
      <c r="G13" s="41">
        <v>0.1194786386676322</v>
      </c>
      <c r="H13" s="44">
        <v>284</v>
      </c>
      <c r="I13" s="45">
        <v>11.620278330019881</v>
      </c>
    </row>
    <row r="14" spans="1:14" ht="30" x14ac:dyDescent="0.25">
      <c r="A14" s="39" t="s">
        <v>46</v>
      </c>
      <c r="B14" s="40">
        <v>743</v>
      </c>
      <c r="C14" s="41">
        <v>2.4827586206896551E-2</v>
      </c>
      <c r="D14" s="42">
        <v>9</v>
      </c>
      <c r="E14" s="43">
        <v>836</v>
      </c>
      <c r="F14" s="40">
        <v>5744</v>
      </c>
      <c r="G14" s="41">
        <v>9.9961700497893533E-2</v>
      </c>
      <c r="H14" s="44">
        <v>56</v>
      </c>
      <c r="I14" s="45">
        <v>8.845528455284553</v>
      </c>
    </row>
    <row r="15" spans="1:14" x14ac:dyDescent="0.25">
      <c r="A15" s="39" t="s">
        <v>47</v>
      </c>
      <c r="B15" s="40">
        <v>6112</v>
      </c>
      <c r="C15" s="41">
        <v>1.646432729086978E-2</v>
      </c>
      <c r="D15" s="42">
        <v>2561</v>
      </c>
      <c r="E15" s="43">
        <v>6417</v>
      </c>
      <c r="F15" s="40">
        <v>55303</v>
      </c>
      <c r="G15" s="41">
        <v>3.682108775942556E-2</v>
      </c>
      <c r="H15" s="44">
        <v>15691</v>
      </c>
      <c r="I15" s="29" t="s">
        <v>196</v>
      </c>
    </row>
    <row r="16" spans="1:14" x14ac:dyDescent="0.25">
      <c r="A16" s="39" t="s">
        <v>48</v>
      </c>
      <c r="B16" s="40">
        <v>2052</v>
      </c>
      <c r="C16" s="41">
        <v>-1.6770483948251081E-2</v>
      </c>
      <c r="D16" s="42">
        <v>536</v>
      </c>
      <c r="E16" s="43">
        <v>562</v>
      </c>
      <c r="F16" s="40">
        <v>25449</v>
      </c>
      <c r="G16" s="41">
        <v>8.3858603066439524E-2</v>
      </c>
      <c r="H16" s="44">
        <v>3929</v>
      </c>
      <c r="I16" s="45">
        <v>12.852894317578331</v>
      </c>
    </row>
    <row r="17" spans="1:9" x14ac:dyDescent="0.25">
      <c r="A17" s="39" t="s">
        <v>49</v>
      </c>
      <c r="B17" s="40">
        <v>21</v>
      </c>
      <c r="C17" s="41">
        <v>0.10526315789473679</v>
      </c>
      <c r="D17" s="42">
        <v>2</v>
      </c>
      <c r="E17" s="43">
        <v>36</v>
      </c>
      <c r="F17" s="40">
        <v>19</v>
      </c>
      <c r="G17" s="41">
        <v>0.1875</v>
      </c>
      <c r="H17" s="44">
        <v>13</v>
      </c>
      <c r="I17" s="45">
        <v>3.166666666666667</v>
      </c>
    </row>
    <row r="18" spans="1:9" x14ac:dyDescent="0.25">
      <c r="A18" s="39" t="s">
        <v>50</v>
      </c>
      <c r="B18" s="40">
        <v>359</v>
      </c>
      <c r="C18" s="41">
        <v>-2.9729729729729731E-2</v>
      </c>
      <c r="D18" s="42">
        <v>71</v>
      </c>
      <c r="E18" s="43">
        <v>240</v>
      </c>
      <c r="F18" s="40">
        <v>3438</v>
      </c>
      <c r="G18" s="41">
        <v>9.9808061420345484E-2</v>
      </c>
      <c r="H18" s="44">
        <v>781</v>
      </c>
      <c r="I18" s="45">
        <v>12.040892193308551</v>
      </c>
    </row>
    <row r="19" spans="1:9" x14ac:dyDescent="0.25">
      <c r="A19" s="39" t="s">
        <v>51</v>
      </c>
      <c r="B19" s="40">
        <v>1353</v>
      </c>
      <c r="C19" s="41">
        <v>5.291828793774319E-2</v>
      </c>
      <c r="D19" s="42">
        <v>110</v>
      </c>
      <c r="E19" s="43">
        <v>1814</v>
      </c>
      <c r="F19" s="40">
        <v>9043</v>
      </c>
      <c r="G19" s="41">
        <v>0.12461136674542971</v>
      </c>
      <c r="H19" s="44">
        <v>833</v>
      </c>
      <c r="I19" s="45">
        <v>8.8568486096807408</v>
      </c>
    </row>
    <row r="20" spans="1:9" x14ac:dyDescent="0.25">
      <c r="A20" s="39" t="s">
        <v>52</v>
      </c>
      <c r="B20" s="40">
        <v>1042</v>
      </c>
      <c r="C20" s="41">
        <v>2.3575638506876231E-2</v>
      </c>
      <c r="D20" s="42">
        <v>317</v>
      </c>
      <c r="E20" s="43">
        <v>383</v>
      </c>
      <c r="F20" s="40">
        <v>19229</v>
      </c>
      <c r="G20" s="41">
        <v>7.6591456245450981E-2</v>
      </c>
      <c r="H20" s="44">
        <v>3488</v>
      </c>
      <c r="I20" s="45">
        <v>18.705820105820109</v>
      </c>
    </row>
    <row r="21" spans="1:9" x14ac:dyDescent="0.25">
      <c r="A21" s="39" t="s">
        <v>53</v>
      </c>
      <c r="B21" s="40">
        <v>523</v>
      </c>
      <c r="C21" s="41">
        <v>4.1832669322709161E-2</v>
      </c>
      <c r="D21" s="42">
        <v>22</v>
      </c>
      <c r="E21" s="28" t="s">
        <v>195</v>
      </c>
      <c r="F21" s="40">
        <v>15536</v>
      </c>
      <c r="G21" s="41">
        <v>9.8727015558698727E-2</v>
      </c>
      <c r="H21" s="44">
        <v>1222</v>
      </c>
      <c r="I21" s="45">
        <v>27.807843137254899</v>
      </c>
    </row>
    <row r="22" spans="1:9" x14ac:dyDescent="0.25">
      <c r="A22" s="39" t="s">
        <v>54</v>
      </c>
      <c r="B22" s="40">
        <v>461</v>
      </c>
      <c r="C22" s="41">
        <v>0.12713936430317849</v>
      </c>
      <c r="D22" s="42">
        <v>103</v>
      </c>
      <c r="E22" s="43">
        <v>58</v>
      </c>
      <c r="F22" s="40">
        <v>1443</v>
      </c>
      <c r="G22" s="41">
        <v>0.15440000000000001</v>
      </c>
      <c r="H22" s="44">
        <v>389</v>
      </c>
      <c r="I22" s="45">
        <v>2.9781181619256021</v>
      </c>
    </row>
    <row r="23" spans="1:9" x14ac:dyDescent="0.25">
      <c r="A23" s="39" t="s">
        <v>55</v>
      </c>
      <c r="B23" s="40">
        <v>922</v>
      </c>
      <c r="C23" s="41">
        <v>4.2986425339366523E-2</v>
      </c>
      <c r="D23" s="42">
        <v>111</v>
      </c>
      <c r="E23" s="43">
        <v>1336</v>
      </c>
      <c r="F23" s="40">
        <v>8678</v>
      </c>
      <c r="G23" s="41">
        <v>0.16078116639914389</v>
      </c>
      <c r="H23" s="44">
        <v>320</v>
      </c>
      <c r="I23" s="45">
        <v>16.218</v>
      </c>
    </row>
    <row r="24" spans="1:9" x14ac:dyDescent="0.25">
      <c r="A24" s="39" t="s">
        <v>56</v>
      </c>
      <c r="B24" s="40">
        <v>670</v>
      </c>
      <c r="C24" s="41">
        <v>5.5118110236220472E-2</v>
      </c>
      <c r="D24" s="42">
        <v>48</v>
      </c>
      <c r="E24" s="43">
        <v>1308</v>
      </c>
      <c r="F24" s="40">
        <v>9124</v>
      </c>
      <c r="G24" s="41">
        <v>0.1716964171054321</v>
      </c>
      <c r="H24" s="44">
        <v>733</v>
      </c>
      <c r="I24" s="45">
        <v>14.7598627787307</v>
      </c>
    </row>
    <row r="25" spans="1:9" x14ac:dyDescent="0.25">
      <c r="A25" s="39" t="s">
        <v>57</v>
      </c>
      <c r="B25" s="40">
        <v>718</v>
      </c>
      <c r="C25" s="41">
        <v>2.4251069900142651E-2</v>
      </c>
      <c r="D25" s="42">
        <v>110</v>
      </c>
      <c r="E25" s="43">
        <v>1451</v>
      </c>
      <c r="F25" s="40">
        <v>10257</v>
      </c>
      <c r="G25" s="41">
        <v>0.14373327386262269</v>
      </c>
      <c r="H25" s="44">
        <v>974</v>
      </c>
      <c r="I25" s="45">
        <v>15.35015290519878</v>
      </c>
    </row>
    <row r="26" spans="1:9" x14ac:dyDescent="0.25">
      <c r="A26" s="39" t="s">
        <v>58</v>
      </c>
      <c r="B26" s="40">
        <v>884</v>
      </c>
      <c r="C26" s="41">
        <v>1.3761467889908259E-2</v>
      </c>
      <c r="D26" s="42">
        <v>201</v>
      </c>
      <c r="E26" s="43">
        <v>1438</v>
      </c>
      <c r="F26" s="40">
        <v>9946</v>
      </c>
      <c r="G26" s="41">
        <v>9.9734630694383014E-2</v>
      </c>
      <c r="H26" s="44">
        <v>1166</v>
      </c>
      <c r="I26" s="45">
        <v>10.893157262905159</v>
      </c>
    </row>
    <row r="27" spans="1:9" x14ac:dyDescent="0.25">
      <c r="A27" s="39" t="s">
        <v>59</v>
      </c>
      <c r="B27" s="40">
        <v>702</v>
      </c>
      <c r="C27" s="41">
        <v>5.8823529411764712E-2</v>
      </c>
      <c r="D27" s="42">
        <v>42</v>
      </c>
      <c r="E27" s="43">
        <v>1094</v>
      </c>
      <c r="F27" s="40">
        <v>8497</v>
      </c>
      <c r="G27" s="41">
        <v>9.3424269720756653E-2</v>
      </c>
      <c r="H27" s="44">
        <v>277</v>
      </c>
      <c r="I27" s="45">
        <v>17.668171557562079</v>
      </c>
    </row>
    <row r="28" spans="1:9" x14ac:dyDescent="0.25">
      <c r="A28" s="39" t="s">
        <v>60</v>
      </c>
      <c r="B28" s="40">
        <v>1213</v>
      </c>
      <c r="C28" s="41">
        <v>1.252086811352254E-2</v>
      </c>
      <c r="D28" s="42">
        <v>217</v>
      </c>
      <c r="E28" s="43" t="s">
        <v>97</v>
      </c>
      <c r="F28" s="40">
        <v>15057</v>
      </c>
      <c r="G28" s="41">
        <v>9.053378720938654E-2</v>
      </c>
      <c r="H28" s="44">
        <v>2334</v>
      </c>
      <c r="I28" s="45">
        <v>13.474543707973099</v>
      </c>
    </row>
    <row r="29" spans="1:9" x14ac:dyDescent="0.25">
      <c r="A29" s="39" t="s">
        <v>61</v>
      </c>
      <c r="B29" s="40">
        <v>704</v>
      </c>
      <c r="C29" s="41">
        <v>7.9754601226993863E-2</v>
      </c>
      <c r="D29" s="42">
        <v>175</v>
      </c>
      <c r="E29" s="43">
        <v>1221</v>
      </c>
      <c r="F29" s="40">
        <v>9787</v>
      </c>
      <c r="G29" s="41">
        <v>7.3842440201887211E-2</v>
      </c>
      <c r="H29" s="44">
        <v>1668</v>
      </c>
      <c r="I29" s="45">
        <v>15.011456628477911</v>
      </c>
    </row>
    <row r="30" spans="1:9" x14ac:dyDescent="0.25">
      <c r="A30" s="39" t="s">
        <v>62</v>
      </c>
      <c r="B30" s="40">
        <v>1560</v>
      </c>
      <c r="C30" s="41">
        <v>1.6949152542372881E-2</v>
      </c>
      <c r="D30" s="42">
        <v>625</v>
      </c>
      <c r="E30" s="28" t="s">
        <v>195</v>
      </c>
      <c r="F30" s="40">
        <v>18082</v>
      </c>
      <c r="G30" s="41">
        <v>0.10654182730555049</v>
      </c>
      <c r="H30" s="44">
        <v>6343</v>
      </c>
      <c r="I30" s="45">
        <v>12.129733520336609</v>
      </c>
    </row>
    <row r="31" spans="1:9" x14ac:dyDescent="0.25">
      <c r="A31" s="39" t="s">
        <v>63</v>
      </c>
      <c r="B31" s="40">
        <v>998</v>
      </c>
      <c r="C31" s="41">
        <v>3.7422037422037417E-2</v>
      </c>
      <c r="D31" s="42">
        <v>250</v>
      </c>
      <c r="E31" s="43">
        <v>730</v>
      </c>
      <c r="F31" s="40">
        <v>11264</v>
      </c>
      <c r="G31" s="41">
        <v>0.15682448392728771</v>
      </c>
      <c r="H31" s="44">
        <v>1603</v>
      </c>
      <c r="I31" s="45">
        <v>13.97650130548303</v>
      </c>
    </row>
    <row r="32" spans="1:9" x14ac:dyDescent="0.25">
      <c r="A32" s="39" t="s">
        <v>64</v>
      </c>
      <c r="B32" s="40">
        <v>597</v>
      </c>
      <c r="C32" s="41">
        <v>3.3613445378151258E-3</v>
      </c>
      <c r="D32" s="42">
        <v>34</v>
      </c>
      <c r="E32" s="43">
        <v>1009</v>
      </c>
      <c r="F32" s="40">
        <v>5881</v>
      </c>
      <c r="G32" s="41">
        <v>0.1272762123825954</v>
      </c>
      <c r="H32" s="44">
        <v>339</v>
      </c>
      <c r="I32" s="45">
        <v>9.8969594594594597</v>
      </c>
    </row>
    <row r="33" spans="1:9" x14ac:dyDescent="0.25">
      <c r="A33" s="39" t="s">
        <v>65</v>
      </c>
      <c r="B33" s="40">
        <v>538</v>
      </c>
      <c r="C33" s="41">
        <v>-1.2844036697247711E-2</v>
      </c>
      <c r="D33" s="42">
        <v>147</v>
      </c>
      <c r="E33" s="43">
        <v>1709</v>
      </c>
      <c r="F33" s="40">
        <v>11753</v>
      </c>
      <c r="G33" s="41">
        <v>0.15679133858267719</v>
      </c>
      <c r="H33" s="44">
        <v>2821</v>
      </c>
      <c r="I33" s="45">
        <v>23.680170575692959</v>
      </c>
    </row>
    <row r="34" spans="1:9" x14ac:dyDescent="0.25">
      <c r="A34" s="39" t="s">
        <v>66</v>
      </c>
      <c r="B34" s="40">
        <v>592</v>
      </c>
      <c r="C34" s="41">
        <v>9.2250922509225092E-2</v>
      </c>
      <c r="D34" s="42">
        <v>32</v>
      </c>
      <c r="E34" s="43">
        <v>944</v>
      </c>
      <c r="F34" s="40">
        <v>5472</v>
      </c>
      <c r="G34" s="41">
        <v>0.13739347329037621</v>
      </c>
      <c r="H34" s="44">
        <v>211</v>
      </c>
      <c r="I34" s="45">
        <v>8.954545454545455</v>
      </c>
    </row>
    <row r="35" spans="1:9" x14ac:dyDescent="0.25">
      <c r="A35" s="39" t="s">
        <v>67</v>
      </c>
      <c r="B35" s="40">
        <v>704</v>
      </c>
      <c r="C35" s="41">
        <v>0.12101910828025481</v>
      </c>
      <c r="D35" s="42">
        <v>39</v>
      </c>
      <c r="E35" s="43">
        <v>1126</v>
      </c>
      <c r="F35" s="40">
        <v>4721</v>
      </c>
      <c r="G35" s="41">
        <v>0.1685643564356436</v>
      </c>
      <c r="H35" s="44">
        <v>299</v>
      </c>
      <c r="I35" s="45">
        <v>10.07289293849658</v>
      </c>
    </row>
    <row r="36" spans="1:9" x14ac:dyDescent="0.25">
      <c r="A36" s="39" t="s">
        <v>68</v>
      </c>
      <c r="B36" s="40">
        <v>669</v>
      </c>
      <c r="C36" s="41">
        <v>3.5603715170278639E-2</v>
      </c>
      <c r="D36" s="42">
        <v>186</v>
      </c>
      <c r="E36" s="43">
        <v>1396</v>
      </c>
      <c r="F36" s="40">
        <v>11395</v>
      </c>
      <c r="G36" s="41">
        <v>6.1777860603801707E-2</v>
      </c>
      <c r="H36" s="44">
        <v>2613</v>
      </c>
      <c r="I36" s="45">
        <v>17.14569536423841</v>
      </c>
    </row>
    <row r="37" spans="1:9" x14ac:dyDescent="0.25">
      <c r="A37" s="39" t="s">
        <v>69</v>
      </c>
      <c r="B37" s="40">
        <v>558</v>
      </c>
      <c r="C37" s="41">
        <v>3.9106145251396648E-2</v>
      </c>
      <c r="D37" s="42">
        <v>40</v>
      </c>
      <c r="E37" s="43">
        <v>942</v>
      </c>
      <c r="F37" s="40">
        <v>5712</v>
      </c>
      <c r="G37" s="41">
        <v>0.121319199057715</v>
      </c>
      <c r="H37" s="44">
        <v>510</v>
      </c>
      <c r="I37" s="45">
        <v>12.57111111111111</v>
      </c>
    </row>
    <row r="38" spans="1:9" x14ac:dyDescent="0.25">
      <c r="A38" s="39" t="s">
        <v>70</v>
      </c>
      <c r="B38" s="40">
        <v>1154</v>
      </c>
      <c r="C38" s="41">
        <v>1.139351446099912E-2</v>
      </c>
      <c r="D38" s="42">
        <v>285</v>
      </c>
      <c r="E38" s="43">
        <v>1844</v>
      </c>
      <c r="F38" s="40">
        <v>14606</v>
      </c>
      <c r="G38" s="41">
        <v>6.0788728302708983E-2</v>
      </c>
      <c r="H38" s="44">
        <v>3922</v>
      </c>
      <c r="I38" s="45">
        <v>11.87053571428571</v>
      </c>
    </row>
    <row r="39" spans="1:9" x14ac:dyDescent="0.25">
      <c r="A39" s="39" t="s">
        <v>71</v>
      </c>
      <c r="B39" s="40">
        <v>556</v>
      </c>
      <c r="C39" s="41">
        <v>6.3097514340344163E-2</v>
      </c>
      <c r="D39" s="42">
        <v>48</v>
      </c>
      <c r="E39" s="43">
        <v>1077</v>
      </c>
      <c r="F39" s="40">
        <v>7330</v>
      </c>
      <c r="G39" s="41">
        <v>8.1759149940968126E-2</v>
      </c>
      <c r="H39" s="44">
        <v>444</v>
      </c>
      <c r="I39" s="45">
        <v>12.17615658362989</v>
      </c>
    </row>
    <row r="40" spans="1:9" x14ac:dyDescent="0.25">
      <c r="A40" s="39" t="s">
        <v>72</v>
      </c>
      <c r="B40" s="40">
        <v>651</v>
      </c>
      <c r="C40" s="41">
        <v>1.5600624024961001E-2</v>
      </c>
      <c r="D40" s="42">
        <v>413</v>
      </c>
      <c r="E40" s="43">
        <v>930</v>
      </c>
      <c r="F40" s="40">
        <v>7962</v>
      </c>
      <c r="G40" s="41">
        <v>7.975693125712115E-3</v>
      </c>
      <c r="H40" s="44">
        <v>3646</v>
      </c>
      <c r="I40" s="45">
        <v>13.06830122591944</v>
      </c>
    </row>
    <row r="41" spans="1:9" x14ac:dyDescent="0.25">
      <c r="A41" s="39" t="s">
        <v>73</v>
      </c>
      <c r="B41" s="40">
        <v>1322</v>
      </c>
      <c r="C41" s="41">
        <v>3.5238841033672669E-2</v>
      </c>
      <c r="D41" s="42">
        <v>239</v>
      </c>
      <c r="E41" s="43">
        <v>2474</v>
      </c>
      <c r="F41" s="40">
        <v>21662</v>
      </c>
      <c r="G41" s="41">
        <v>0.109392604732152</v>
      </c>
      <c r="H41" s="44">
        <v>3212</v>
      </c>
      <c r="I41" s="45">
        <v>15.485603112840471</v>
      </c>
    </row>
    <row r="42" spans="1:9" x14ac:dyDescent="0.25">
      <c r="A42" s="39" t="s">
        <v>74</v>
      </c>
      <c r="B42" s="40">
        <v>710</v>
      </c>
      <c r="C42" s="41">
        <v>5.9701492537313432E-2</v>
      </c>
      <c r="D42" s="42">
        <v>25</v>
      </c>
      <c r="E42" s="43">
        <v>714</v>
      </c>
      <c r="F42" s="40">
        <v>4689</v>
      </c>
      <c r="G42" s="41">
        <v>0.2345971563981043</v>
      </c>
      <c r="H42" s="44">
        <v>74</v>
      </c>
      <c r="I42" s="45">
        <v>15.61837455830389</v>
      </c>
    </row>
    <row r="43" spans="1:9" x14ac:dyDescent="0.25">
      <c r="A43" s="39" t="s">
        <v>75</v>
      </c>
      <c r="B43" s="40">
        <v>1164</v>
      </c>
      <c r="C43" s="41">
        <v>5.9144676979071893E-2</v>
      </c>
      <c r="D43" s="42">
        <v>238</v>
      </c>
      <c r="E43" s="43">
        <v>1905</v>
      </c>
      <c r="F43" s="40">
        <v>18051</v>
      </c>
      <c r="G43" s="41">
        <v>0.1143280449410457</v>
      </c>
      <c r="H43" s="44">
        <v>3368</v>
      </c>
      <c r="I43" s="45">
        <v>14.41317365269461</v>
      </c>
    </row>
    <row r="44" spans="1:9" x14ac:dyDescent="0.25">
      <c r="A44" s="39" t="s">
        <v>76</v>
      </c>
      <c r="B44" s="40">
        <v>810</v>
      </c>
      <c r="C44" s="41">
        <v>0.08</v>
      </c>
      <c r="D44" s="42">
        <v>86</v>
      </c>
      <c r="E44" s="43">
        <v>1238</v>
      </c>
      <c r="F44" s="40">
        <v>10258</v>
      </c>
      <c r="G44" s="41">
        <v>0.1646230699364214</v>
      </c>
      <c r="H44" s="44">
        <v>616</v>
      </c>
      <c r="I44" s="45">
        <v>11.72916666666667</v>
      </c>
    </row>
    <row r="45" spans="1:9" x14ac:dyDescent="0.25">
      <c r="A45" s="39" t="s">
        <v>77</v>
      </c>
      <c r="B45" s="40">
        <v>1290</v>
      </c>
      <c r="C45" s="41">
        <v>4.0322580645161289E-2</v>
      </c>
      <c r="D45" s="42">
        <v>219</v>
      </c>
      <c r="E45" s="43">
        <v>2208</v>
      </c>
      <c r="F45" s="40">
        <v>15256</v>
      </c>
      <c r="G45" s="41">
        <v>7.6564815468209729E-2</v>
      </c>
      <c r="H45" s="44">
        <v>1741</v>
      </c>
      <c r="I45" s="45">
        <v>12.41826086956522</v>
      </c>
    </row>
    <row r="46" spans="1:9" x14ac:dyDescent="0.25">
      <c r="A46" s="39" t="s">
        <v>78</v>
      </c>
      <c r="B46" s="40">
        <v>1647</v>
      </c>
      <c r="C46" s="41">
        <v>2.2981366459627329E-2</v>
      </c>
      <c r="D46" s="42">
        <v>448</v>
      </c>
      <c r="E46" s="43">
        <v>2127</v>
      </c>
      <c r="F46" s="40">
        <v>21567</v>
      </c>
      <c r="G46" s="41">
        <v>0.1090712742980562</v>
      </c>
      <c r="H46" s="44">
        <v>3091</v>
      </c>
      <c r="I46" s="45">
        <v>12.752823086574651</v>
      </c>
    </row>
    <row r="47" spans="1:9" x14ac:dyDescent="0.25">
      <c r="A47" s="39" t="s">
        <v>79</v>
      </c>
      <c r="B47" s="40">
        <v>99</v>
      </c>
      <c r="C47" s="41">
        <v>5.3191489361702128E-2</v>
      </c>
      <c r="D47" s="42">
        <v>28</v>
      </c>
      <c r="E47" s="43">
        <v>105</v>
      </c>
      <c r="F47" s="40">
        <v>453</v>
      </c>
      <c r="G47" s="41">
        <v>3.4246575342465752E-2</v>
      </c>
      <c r="H47" s="44">
        <v>313</v>
      </c>
      <c r="I47" s="45">
        <v>7.6491228070175437</v>
      </c>
    </row>
    <row r="48" spans="1:9" x14ac:dyDescent="0.25">
      <c r="A48" s="39" t="s">
        <v>80</v>
      </c>
      <c r="B48" s="40">
        <v>698</v>
      </c>
      <c r="C48" s="41">
        <v>4.8048048048048048E-2</v>
      </c>
      <c r="D48" s="42">
        <v>30</v>
      </c>
      <c r="E48" s="43">
        <v>806</v>
      </c>
      <c r="F48" s="40">
        <v>4123</v>
      </c>
      <c r="G48" s="41">
        <v>7.2022880915236606E-2</v>
      </c>
      <c r="H48" s="44">
        <v>371</v>
      </c>
      <c r="I48" s="45">
        <v>9.3589108910891081</v>
      </c>
    </row>
    <row r="49" spans="1:9" x14ac:dyDescent="0.25">
      <c r="A49" s="39" t="s">
        <v>81</v>
      </c>
      <c r="B49" s="40">
        <v>566</v>
      </c>
      <c r="C49" s="41">
        <v>1.798561151079137E-2</v>
      </c>
      <c r="D49" s="42">
        <v>14</v>
      </c>
      <c r="E49" s="43">
        <v>2670</v>
      </c>
      <c r="F49" s="40">
        <v>13698</v>
      </c>
      <c r="G49" s="41">
        <v>7.4774421341702632E-2</v>
      </c>
      <c r="H49" s="44">
        <v>1243</v>
      </c>
      <c r="I49" s="45">
        <v>22.261484098939931</v>
      </c>
    </row>
    <row r="50" spans="1:9" x14ac:dyDescent="0.25">
      <c r="A50" s="39" t="s">
        <v>82</v>
      </c>
      <c r="B50" s="40">
        <v>857</v>
      </c>
      <c r="C50" s="41">
        <v>6.1957868649318473E-2</v>
      </c>
      <c r="D50" s="42">
        <v>162</v>
      </c>
      <c r="E50" s="43">
        <v>498</v>
      </c>
      <c r="F50" s="40">
        <v>2956</v>
      </c>
      <c r="G50" s="41">
        <v>0.12438189425637131</v>
      </c>
      <c r="H50" s="44">
        <v>582</v>
      </c>
      <c r="I50" s="45">
        <v>3.1872093023255812</v>
      </c>
    </row>
    <row r="51" spans="1:9" x14ac:dyDescent="0.25">
      <c r="A51" s="39" t="s">
        <v>83</v>
      </c>
      <c r="B51" s="40">
        <v>474</v>
      </c>
      <c r="C51" s="41">
        <v>4.405286343612335E-2</v>
      </c>
      <c r="D51" s="42">
        <v>13</v>
      </c>
      <c r="E51" s="28" t="s">
        <v>195</v>
      </c>
      <c r="F51" s="40">
        <v>4848</v>
      </c>
      <c r="G51" s="41">
        <v>0.25498317369919749</v>
      </c>
      <c r="H51" s="44">
        <v>107</v>
      </c>
      <c r="I51" s="45">
        <v>13.902735562310029</v>
      </c>
    </row>
    <row r="52" spans="1:9" x14ac:dyDescent="0.25">
      <c r="A52" s="39" t="s">
        <v>84</v>
      </c>
      <c r="B52" s="40">
        <v>1285</v>
      </c>
      <c r="C52" s="41">
        <v>3.5455278001611613E-2</v>
      </c>
      <c r="D52" s="42">
        <v>124</v>
      </c>
      <c r="E52" s="43">
        <v>3746</v>
      </c>
      <c r="F52" s="40">
        <v>21301</v>
      </c>
      <c r="G52" s="41">
        <v>0.1145353704478861</v>
      </c>
      <c r="H52" s="44">
        <v>2065</v>
      </c>
      <c r="I52" s="45">
        <v>16.061240934730051</v>
      </c>
    </row>
    <row r="53" spans="1:9" x14ac:dyDescent="0.25">
      <c r="A53" s="39" t="s">
        <v>85</v>
      </c>
      <c r="B53" s="40" t="s">
        <v>197</v>
      </c>
      <c r="C53" s="41" t="s">
        <v>197</v>
      </c>
      <c r="D53" s="42" t="s">
        <v>197</v>
      </c>
      <c r="E53" s="43" t="s">
        <v>195</v>
      </c>
      <c r="F53" s="40">
        <v>355</v>
      </c>
      <c r="G53" s="41">
        <v>3.8011695906432753E-2</v>
      </c>
      <c r="H53" s="44">
        <v>131</v>
      </c>
      <c r="I53" s="29" t="s">
        <v>196</v>
      </c>
    </row>
    <row r="54" spans="1:9" x14ac:dyDescent="0.25">
      <c r="A54" s="39" t="s">
        <v>86</v>
      </c>
      <c r="B54" s="40">
        <v>4477</v>
      </c>
      <c r="C54" s="41">
        <v>3.9712029725963771E-2</v>
      </c>
      <c r="D54" s="42">
        <v>2055</v>
      </c>
      <c r="E54" s="43">
        <v>4693</v>
      </c>
      <c r="F54" s="40">
        <v>41563</v>
      </c>
      <c r="G54" s="41">
        <v>3.5967098703888332E-2</v>
      </c>
      <c r="H54" s="44">
        <v>12601</v>
      </c>
      <c r="I54" s="45">
        <v>8.51048951048951</v>
      </c>
    </row>
    <row r="55" spans="1:9" x14ac:dyDescent="0.25">
      <c r="A55" s="39" t="s">
        <v>87</v>
      </c>
      <c r="B55" s="40">
        <v>266</v>
      </c>
      <c r="C55" s="41">
        <v>0</v>
      </c>
      <c r="D55" s="42">
        <v>14</v>
      </c>
      <c r="E55" s="28" t="s">
        <v>195</v>
      </c>
      <c r="F55" s="40">
        <v>170</v>
      </c>
      <c r="G55" s="41">
        <v>-0.1099476439790576</v>
      </c>
      <c r="H55" s="44">
        <v>3</v>
      </c>
      <c r="I55" s="29" t="s">
        <v>196</v>
      </c>
    </row>
    <row r="56" spans="1:9" x14ac:dyDescent="0.25">
      <c r="A56" s="39" t="s">
        <v>88</v>
      </c>
      <c r="B56" s="40">
        <v>751</v>
      </c>
      <c r="C56" s="41">
        <v>4.7419804741980473E-2</v>
      </c>
      <c r="D56" s="42">
        <v>339</v>
      </c>
      <c r="E56" s="43">
        <v>405</v>
      </c>
      <c r="F56" s="40">
        <v>7722</v>
      </c>
      <c r="G56" s="41">
        <v>5.969534787978592E-2</v>
      </c>
      <c r="H56" s="44">
        <v>2897</v>
      </c>
      <c r="I56" s="45">
        <v>9.5817438692098094</v>
      </c>
    </row>
    <row r="57" spans="1:9" x14ac:dyDescent="0.25">
      <c r="A57" s="39" t="s">
        <v>89</v>
      </c>
      <c r="B57" s="40">
        <v>455</v>
      </c>
      <c r="C57" s="41">
        <v>5.3240740740740741E-2</v>
      </c>
      <c r="D57" s="42">
        <v>16</v>
      </c>
      <c r="E57" s="43">
        <v>551</v>
      </c>
      <c r="F57" s="40">
        <v>3259</v>
      </c>
      <c r="G57" s="41">
        <v>0.21649869354236659</v>
      </c>
      <c r="H57" s="44">
        <v>60</v>
      </c>
      <c r="I57" s="45">
        <v>12.168674698795179</v>
      </c>
    </row>
    <row r="58" spans="1:9" x14ac:dyDescent="0.25">
      <c r="A58" s="39" t="s">
        <v>90</v>
      </c>
      <c r="B58" s="40">
        <v>44</v>
      </c>
      <c r="C58" s="41">
        <v>-2.222222222222222E-2</v>
      </c>
      <c r="D58" s="42">
        <v>2</v>
      </c>
      <c r="E58" s="43">
        <v>69</v>
      </c>
      <c r="F58" s="40">
        <v>90</v>
      </c>
      <c r="G58" s="41">
        <v>0.1111111111111111</v>
      </c>
      <c r="H58" s="44">
        <v>2</v>
      </c>
      <c r="I58" s="45">
        <v>3.5</v>
      </c>
    </row>
    <row r="59" spans="1:9" x14ac:dyDescent="0.25">
      <c r="A59" s="39" t="s">
        <v>91</v>
      </c>
      <c r="B59" s="40">
        <v>1254</v>
      </c>
      <c r="C59" s="41">
        <v>6.420545746388443E-3</v>
      </c>
      <c r="D59" s="42">
        <v>288</v>
      </c>
      <c r="E59" s="43">
        <v>2797</v>
      </c>
      <c r="F59" s="40">
        <v>22512</v>
      </c>
      <c r="G59" s="41">
        <v>9.7932110807647285E-2</v>
      </c>
      <c r="H59" s="44">
        <v>3001</v>
      </c>
      <c r="I59" s="45">
        <v>16.628980891719749</v>
      </c>
    </row>
    <row r="60" spans="1:9" x14ac:dyDescent="0.25">
      <c r="A60" s="39" t="s">
        <v>92</v>
      </c>
      <c r="B60" s="40">
        <v>1495</v>
      </c>
      <c r="C60" s="41">
        <v>2.8905712319339302E-2</v>
      </c>
      <c r="D60" s="42">
        <v>230</v>
      </c>
      <c r="E60" s="43">
        <v>2702</v>
      </c>
      <c r="F60" s="40">
        <v>21636</v>
      </c>
      <c r="G60" s="41">
        <v>7.3693613220187582E-2</v>
      </c>
      <c r="H60" s="44">
        <v>3302</v>
      </c>
      <c r="I60" s="45">
        <v>15.970423661071139</v>
      </c>
    </row>
    <row r="61" spans="1:9" x14ac:dyDescent="0.25">
      <c r="A61" s="39" t="s">
        <v>93</v>
      </c>
      <c r="B61" s="40">
        <v>487</v>
      </c>
      <c r="C61" s="41">
        <v>2.7426160337552741E-2</v>
      </c>
      <c r="D61" s="42">
        <v>16</v>
      </c>
      <c r="E61" s="43">
        <v>742</v>
      </c>
      <c r="F61" s="40">
        <v>4540</v>
      </c>
      <c r="G61" s="41">
        <v>0.2042440318302387</v>
      </c>
      <c r="H61" s="44">
        <v>130</v>
      </c>
      <c r="I61" s="45">
        <v>10.06264501160093</v>
      </c>
    </row>
    <row r="62" spans="1:9" x14ac:dyDescent="0.25">
      <c r="A62" s="39" t="s">
        <v>94</v>
      </c>
      <c r="B62" s="40">
        <v>618</v>
      </c>
      <c r="C62" s="41">
        <v>2.4875621890547261E-2</v>
      </c>
      <c r="D62" s="42">
        <v>46</v>
      </c>
      <c r="E62" s="43">
        <v>1616</v>
      </c>
      <c r="F62" s="40">
        <v>10090</v>
      </c>
      <c r="G62" s="41">
        <v>0.1323083828975424</v>
      </c>
      <c r="H62" s="44">
        <v>834</v>
      </c>
      <c r="I62" s="45">
        <v>16.26829268292683</v>
      </c>
    </row>
    <row r="63" spans="1:9" x14ac:dyDescent="0.25">
      <c r="A63" s="39" t="s">
        <v>95</v>
      </c>
      <c r="B63" s="40">
        <v>669</v>
      </c>
      <c r="C63" s="41">
        <v>5.6872037914691941E-2</v>
      </c>
      <c r="D63" s="42">
        <v>20</v>
      </c>
      <c r="E63" s="43">
        <v>981</v>
      </c>
      <c r="F63" s="40">
        <v>4889</v>
      </c>
      <c r="G63" s="41">
        <v>0.16515729265967591</v>
      </c>
      <c r="H63" s="44">
        <v>127</v>
      </c>
      <c r="I63" s="45">
        <v>10.697892271662759</v>
      </c>
    </row>
    <row r="64" spans="1:9" ht="19.5" thickBot="1" x14ac:dyDescent="0.3">
      <c r="A64" s="46" t="s">
        <v>96</v>
      </c>
      <c r="B64" s="47">
        <v>24504</v>
      </c>
      <c r="C64" s="48">
        <v>1.4112486032363531E-2</v>
      </c>
      <c r="D64" s="49" t="s">
        <v>97</v>
      </c>
      <c r="E64" s="50">
        <v>25426</v>
      </c>
      <c r="F64" s="47">
        <v>180568</v>
      </c>
      <c r="G64" s="48">
        <v>6.3815675805220066E-3</v>
      </c>
      <c r="H64" s="49" t="s">
        <v>97</v>
      </c>
      <c r="I64" s="51">
        <v>7.8209087931115171</v>
      </c>
    </row>
    <row r="66" spans="1:16" s="22" customFormat="1" ht="30.75" customHeight="1" x14ac:dyDescent="0.2">
      <c r="A66" s="55" t="s">
        <v>98</v>
      </c>
      <c r="B66" s="56"/>
      <c r="C66" s="56"/>
      <c r="D66" s="56"/>
      <c r="E66" s="56"/>
      <c r="F66" s="56"/>
      <c r="G66" s="56"/>
      <c r="H66" s="56"/>
      <c r="I66" s="57"/>
      <c r="K66" s="54"/>
      <c r="L66" s="54"/>
      <c r="M66" s="54"/>
      <c r="O66" s="54"/>
    </row>
    <row r="67" spans="1:16" s="22" customFormat="1" ht="42" customHeight="1" x14ac:dyDescent="0.2">
      <c r="A67" s="144" t="s">
        <v>99</v>
      </c>
      <c r="B67" s="144"/>
      <c r="C67" s="144"/>
      <c r="D67" s="144"/>
      <c r="E67" s="144"/>
      <c r="F67" s="144"/>
      <c r="G67" s="144"/>
      <c r="H67" s="144"/>
      <c r="I67" s="144"/>
      <c r="K67" s="54"/>
      <c r="L67" s="54"/>
      <c r="M67" s="54"/>
    </row>
    <row r="68" spans="1:16" s="22" customFormat="1" ht="12.75" x14ac:dyDescent="0.2">
      <c r="A68" s="21" t="s">
        <v>100</v>
      </c>
      <c r="B68" s="58"/>
      <c r="C68" s="58"/>
      <c r="D68" s="58"/>
      <c r="E68" s="58"/>
      <c r="F68" s="58"/>
      <c r="G68" s="58"/>
      <c r="H68" s="58"/>
      <c r="I68" s="59"/>
      <c r="K68" s="54"/>
      <c r="L68" s="54"/>
      <c r="M68" s="54"/>
    </row>
    <row r="69" spans="1:16" s="22" customFormat="1" ht="25.5" customHeight="1" x14ac:dyDescent="0.2">
      <c r="A69" s="144" t="s">
        <v>101</v>
      </c>
      <c r="B69" s="144"/>
      <c r="C69" s="144"/>
      <c r="D69" s="144"/>
      <c r="E69" s="144"/>
      <c r="F69" s="144"/>
      <c r="G69" s="144"/>
      <c r="H69" s="144"/>
      <c r="I69" s="144"/>
      <c r="K69" s="54"/>
      <c r="L69" s="54"/>
      <c r="M69" s="54"/>
    </row>
    <row r="70" spans="1:16" s="22" customFormat="1" ht="12.75" customHeight="1" x14ac:dyDescent="0.2">
      <c r="A70" s="141" t="s">
        <v>102</v>
      </c>
      <c r="B70" s="141"/>
      <c r="C70" s="141"/>
      <c r="D70" s="141"/>
      <c r="E70" s="141"/>
      <c r="F70" s="141"/>
      <c r="G70" s="141"/>
      <c r="H70" s="141"/>
      <c r="I70" s="141"/>
      <c r="J70" s="1"/>
      <c r="K70" s="54"/>
      <c r="L70" s="54"/>
      <c r="M70" s="54"/>
      <c r="P70" s="1"/>
    </row>
    <row r="71" spans="1:16" s="22" customFormat="1" ht="24.75" customHeight="1" x14ac:dyDescent="0.2">
      <c r="A71" s="141" t="s">
        <v>103</v>
      </c>
      <c r="B71" s="141"/>
      <c r="C71" s="141"/>
      <c r="D71" s="141"/>
      <c r="E71" s="141"/>
      <c r="F71" s="141"/>
      <c r="G71" s="141"/>
      <c r="H71" s="141"/>
      <c r="I71" s="141"/>
      <c r="J71" s="1"/>
      <c r="K71" s="54"/>
      <c r="L71" s="54"/>
      <c r="M71" s="54"/>
      <c r="P71" s="1"/>
    </row>
    <row r="72" spans="1:16" s="22" customFormat="1" ht="42" customHeight="1" x14ac:dyDescent="0.2">
      <c r="A72" s="142" t="s">
        <v>104</v>
      </c>
      <c r="B72" s="142"/>
      <c r="C72" s="142"/>
      <c r="D72" s="142"/>
      <c r="E72" s="142"/>
      <c r="F72" s="142"/>
      <c r="G72" s="142"/>
      <c r="H72" s="142"/>
      <c r="I72" s="142"/>
      <c r="K72" s="54"/>
      <c r="L72" s="54"/>
      <c r="M72" s="54"/>
      <c r="O72" s="1"/>
    </row>
  </sheetData>
  <mergeCells count="7">
    <mergeCell ref="A71:I71"/>
    <mergeCell ref="A72:I72"/>
    <mergeCell ref="B3:D3"/>
    <mergeCell ref="F3:I3"/>
    <mergeCell ref="A67:I67"/>
    <mergeCell ref="A69:I69"/>
    <mergeCell ref="A70:I70"/>
  </mergeCells>
  <pageMargins left="0.7" right="0.7" top="0.75" bottom="0.75" header="0.3" footer="0.3"/>
  <pageSetup orientation="portrait" r:id="rId1"/>
  <headerFooter>
    <oddHeader>&amp;C&amp;"Calibri"&amp;10&amp;K000000 Internal Use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8"/>
  <sheetViews>
    <sheetView workbookViewId="0"/>
  </sheetViews>
  <sheetFormatPr defaultRowHeight="15" x14ac:dyDescent="0.25"/>
  <cols>
    <col min="1" max="1" width="18.42578125" customWidth="1"/>
    <col min="2" max="2" width="16.85546875" customWidth="1"/>
    <col min="3" max="5" width="11.5703125" customWidth="1"/>
    <col min="6" max="8" width="11.85546875" customWidth="1"/>
    <col min="10" max="10" width="7.5703125" customWidth="1"/>
    <col min="11" max="11" width="6.5703125" customWidth="1"/>
    <col min="12" max="12" width="3.85546875" customWidth="1"/>
    <col min="13" max="13" width="7.140625" bestFit="1" customWidth="1"/>
  </cols>
  <sheetData>
    <row r="1" spans="1:10" ht="18" x14ac:dyDescent="0.25">
      <c r="A1" s="60" t="s">
        <v>190</v>
      </c>
    </row>
    <row r="2" spans="1:10" ht="15.75" thickBot="1" x14ac:dyDescent="0.3"/>
    <row r="3" spans="1:10" s="62" customFormat="1" ht="20.25" customHeight="1" thickBot="1" x14ac:dyDescent="0.3">
      <c r="A3" s="61"/>
      <c r="B3" s="146" t="s">
        <v>105</v>
      </c>
      <c r="C3" s="147" t="s">
        <v>106</v>
      </c>
      <c r="D3" s="147"/>
      <c r="E3" s="147"/>
      <c r="F3" s="148" t="s">
        <v>107</v>
      </c>
      <c r="G3" s="148"/>
      <c r="H3" s="148"/>
    </row>
    <row r="4" spans="1:10" s="62" customFormat="1" ht="20.25" customHeight="1" thickBot="1" x14ac:dyDescent="0.3">
      <c r="B4" s="146"/>
      <c r="C4" s="147"/>
      <c r="D4" s="147"/>
      <c r="E4" s="147"/>
      <c r="F4" s="148"/>
      <c r="G4" s="148"/>
      <c r="H4" s="148"/>
    </row>
    <row r="5" spans="1:10" s="62" customFormat="1" ht="15" customHeight="1" thickBot="1" x14ac:dyDescent="0.3">
      <c r="A5" s="63" t="s">
        <v>28</v>
      </c>
      <c r="B5" s="64" t="s">
        <v>105</v>
      </c>
      <c r="C5" s="65" t="s">
        <v>108</v>
      </c>
      <c r="D5" s="65" t="s">
        <v>109</v>
      </c>
      <c r="E5" s="65" t="s">
        <v>110</v>
      </c>
      <c r="F5" s="65" t="s">
        <v>111</v>
      </c>
      <c r="G5" s="65" t="s">
        <v>112</v>
      </c>
      <c r="H5" s="65" t="s">
        <v>113</v>
      </c>
    </row>
    <row r="6" spans="1:10" s="62" customFormat="1" x14ac:dyDescent="0.25">
      <c r="A6" s="66" t="s">
        <v>35</v>
      </c>
      <c r="B6" s="67">
        <v>48</v>
      </c>
      <c r="C6" s="67">
        <v>61</v>
      </c>
      <c r="D6" s="67">
        <v>0</v>
      </c>
      <c r="E6" s="67">
        <v>1</v>
      </c>
      <c r="F6" s="67">
        <v>0</v>
      </c>
      <c r="G6" s="67">
        <v>10</v>
      </c>
      <c r="H6" s="67">
        <v>48</v>
      </c>
      <c r="J6" s="125"/>
    </row>
    <row r="7" spans="1:10" s="62" customFormat="1" x14ac:dyDescent="0.25">
      <c r="A7" s="68" t="s">
        <v>36</v>
      </c>
      <c r="B7" s="67">
        <v>18</v>
      </c>
      <c r="C7" s="67">
        <v>23</v>
      </c>
      <c r="D7" s="67">
        <v>0</v>
      </c>
      <c r="E7" s="67">
        <v>4</v>
      </c>
      <c r="F7" s="67">
        <v>0</v>
      </c>
      <c r="G7" s="67">
        <v>11</v>
      </c>
      <c r="H7" s="67">
        <v>15</v>
      </c>
      <c r="J7" s="125"/>
    </row>
    <row r="8" spans="1:10" s="62" customFormat="1" x14ac:dyDescent="0.25">
      <c r="A8" s="68" t="s">
        <v>37</v>
      </c>
      <c r="B8" s="67">
        <v>85</v>
      </c>
      <c r="C8" s="67">
        <v>64</v>
      </c>
      <c r="D8" s="67">
        <v>0</v>
      </c>
      <c r="E8" s="67">
        <v>7</v>
      </c>
      <c r="F8" s="67">
        <v>0</v>
      </c>
      <c r="G8" s="67">
        <v>23</v>
      </c>
      <c r="H8" s="67">
        <v>78</v>
      </c>
      <c r="J8" s="125"/>
    </row>
    <row r="9" spans="1:10" s="62" customFormat="1" x14ac:dyDescent="0.25">
      <c r="A9" s="68" t="s">
        <v>39</v>
      </c>
      <c r="B9" s="67">
        <v>25</v>
      </c>
      <c r="C9" s="67">
        <v>40</v>
      </c>
      <c r="D9" s="67">
        <v>0</v>
      </c>
      <c r="E9" s="67">
        <v>4</v>
      </c>
      <c r="F9" s="67">
        <v>0</v>
      </c>
      <c r="G9" s="67">
        <v>8</v>
      </c>
      <c r="H9" s="67">
        <v>19</v>
      </c>
      <c r="J9" s="125"/>
    </row>
    <row r="10" spans="1:10" s="62" customFormat="1" x14ac:dyDescent="0.25">
      <c r="A10" s="68" t="s">
        <v>40</v>
      </c>
      <c r="B10" s="67">
        <v>232</v>
      </c>
      <c r="C10" s="67">
        <v>138</v>
      </c>
      <c r="D10" s="67">
        <v>0</v>
      </c>
      <c r="E10" s="67">
        <v>15</v>
      </c>
      <c r="F10" s="67">
        <v>0</v>
      </c>
      <c r="G10" s="67">
        <v>0</v>
      </c>
      <c r="H10" s="67">
        <v>545</v>
      </c>
      <c r="J10" s="125"/>
    </row>
    <row r="11" spans="1:10" s="62" customFormat="1" x14ac:dyDescent="0.25">
      <c r="A11" s="68" t="s">
        <v>41</v>
      </c>
      <c r="B11" s="67">
        <v>158</v>
      </c>
      <c r="C11" s="67">
        <v>169</v>
      </c>
      <c r="D11" s="67">
        <v>0</v>
      </c>
      <c r="E11" s="67">
        <v>64</v>
      </c>
      <c r="F11" s="67">
        <v>14</v>
      </c>
      <c r="G11" s="67">
        <v>48</v>
      </c>
      <c r="H11" s="67">
        <v>0</v>
      </c>
      <c r="J11" s="125"/>
    </row>
    <row r="12" spans="1:10" s="62" customFormat="1" x14ac:dyDescent="0.25">
      <c r="A12" s="68" t="s">
        <v>42</v>
      </c>
      <c r="B12" s="67">
        <v>96</v>
      </c>
      <c r="C12" s="67">
        <v>93</v>
      </c>
      <c r="D12" s="67">
        <v>0</v>
      </c>
      <c r="E12" s="67">
        <v>8</v>
      </c>
      <c r="F12" s="67">
        <v>0</v>
      </c>
      <c r="G12" s="67">
        <v>10</v>
      </c>
      <c r="H12" s="67">
        <v>281</v>
      </c>
      <c r="J12" s="125"/>
    </row>
    <row r="13" spans="1:10" s="62" customFormat="1" x14ac:dyDescent="0.25">
      <c r="A13" s="68" t="s">
        <v>44</v>
      </c>
      <c r="B13" s="67">
        <v>51</v>
      </c>
      <c r="C13" s="67">
        <v>44</v>
      </c>
      <c r="D13" s="67">
        <v>0</v>
      </c>
      <c r="E13" s="67">
        <v>12</v>
      </c>
      <c r="F13" s="67">
        <v>0</v>
      </c>
      <c r="G13" s="67">
        <v>11</v>
      </c>
      <c r="H13" s="67">
        <v>40</v>
      </c>
      <c r="J13" s="125"/>
    </row>
    <row r="14" spans="1:10" s="62" customFormat="1" x14ac:dyDescent="0.25">
      <c r="A14" s="68" t="s">
        <v>45</v>
      </c>
      <c r="B14" s="67">
        <v>21</v>
      </c>
      <c r="C14" s="67">
        <v>14</v>
      </c>
      <c r="D14" s="67">
        <v>0</v>
      </c>
      <c r="E14" s="67">
        <v>5</v>
      </c>
      <c r="F14" s="67">
        <v>0</v>
      </c>
      <c r="G14" s="67">
        <v>6</v>
      </c>
      <c r="H14" s="67">
        <v>13</v>
      </c>
      <c r="J14" s="125"/>
    </row>
    <row r="15" spans="1:10" s="62" customFormat="1" x14ac:dyDescent="0.25">
      <c r="A15" s="68" t="s">
        <v>46</v>
      </c>
      <c r="B15" s="67">
        <v>26</v>
      </c>
      <c r="C15" s="67">
        <v>19</v>
      </c>
      <c r="D15" s="67">
        <v>0</v>
      </c>
      <c r="E15" s="67">
        <v>2</v>
      </c>
      <c r="F15" s="67">
        <v>0</v>
      </c>
      <c r="G15" s="67">
        <v>7</v>
      </c>
      <c r="H15" s="67">
        <v>26</v>
      </c>
      <c r="J15" s="125"/>
    </row>
    <row r="16" spans="1:10" s="62" customFormat="1" x14ac:dyDescent="0.25">
      <c r="A16" s="68" t="s">
        <v>47</v>
      </c>
      <c r="B16" s="67">
        <v>253</v>
      </c>
      <c r="C16" s="67">
        <v>186</v>
      </c>
      <c r="D16" s="67">
        <v>0</v>
      </c>
      <c r="E16" s="67">
        <v>38</v>
      </c>
      <c r="F16" s="67">
        <v>2</v>
      </c>
      <c r="G16" s="67">
        <v>31</v>
      </c>
      <c r="H16" s="67">
        <v>342</v>
      </c>
      <c r="J16" s="125"/>
    </row>
    <row r="17" spans="1:11" s="62" customFormat="1" x14ac:dyDescent="0.25">
      <c r="A17" s="68" t="s">
        <v>48</v>
      </c>
      <c r="B17" s="67">
        <v>92</v>
      </c>
      <c r="C17" s="67">
        <v>71</v>
      </c>
      <c r="D17" s="67">
        <v>1</v>
      </c>
      <c r="E17" s="67">
        <v>3</v>
      </c>
      <c r="F17" s="67">
        <v>0</v>
      </c>
      <c r="G17" s="67">
        <v>18</v>
      </c>
      <c r="H17" s="67">
        <v>106</v>
      </c>
      <c r="J17" s="125"/>
    </row>
    <row r="18" spans="1:11" s="62" customFormat="1" x14ac:dyDescent="0.25">
      <c r="A18" s="68" t="s">
        <v>49</v>
      </c>
      <c r="B18" s="67">
        <v>0</v>
      </c>
      <c r="C18" s="67">
        <v>0</v>
      </c>
      <c r="D18" s="67">
        <v>0</v>
      </c>
      <c r="E18" s="67">
        <v>0</v>
      </c>
      <c r="F18" s="67">
        <v>0</v>
      </c>
      <c r="G18" s="67">
        <v>0</v>
      </c>
      <c r="H18" s="67">
        <v>1</v>
      </c>
      <c r="J18" s="125"/>
    </row>
    <row r="19" spans="1:11" s="62" customFormat="1" x14ac:dyDescent="0.25">
      <c r="A19" s="68" t="s">
        <v>50</v>
      </c>
      <c r="B19" s="67">
        <v>10</v>
      </c>
      <c r="C19" s="67">
        <v>7</v>
      </c>
      <c r="D19" s="75" t="s">
        <v>198</v>
      </c>
      <c r="E19" s="67">
        <v>1</v>
      </c>
      <c r="F19" s="67">
        <v>0</v>
      </c>
      <c r="G19" s="67">
        <v>13</v>
      </c>
      <c r="H19" s="67">
        <v>30</v>
      </c>
      <c r="J19" s="125"/>
      <c r="K19" s="126"/>
    </row>
    <row r="20" spans="1:11" s="62" customFormat="1" x14ac:dyDescent="0.25">
      <c r="A20" s="68" t="s">
        <v>51</v>
      </c>
      <c r="B20" s="67">
        <v>66</v>
      </c>
      <c r="C20" s="67">
        <v>52</v>
      </c>
      <c r="D20" s="67">
        <v>0</v>
      </c>
      <c r="E20" s="67">
        <v>11</v>
      </c>
      <c r="F20" s="67">
        <v>0</v>
      </c>
      <c r="G20" s="67">
        <v>31</v>
      </c>
      <c r="H20" s="67">
        <v>31</v>
      </c>
      <c r="J20" s="125"/>
    </row>
    <row r="21" spans="1:11" s="62" customFormat="1" x14ac:dyDescent="0.25">
      <c r="A21" s="68" t="s">
        <v>52</v>
      </c>
      <c r="B21" s="67">
        <v>48</v>
      </c>
      <c r="C21" s="67">
        <v>41</v>
      </c>
      <c r="D21" s="67">
        <v>0</v>
      </c>
      <c r="E21" s="67">
        <v>16</v>
      </c>
      <c r="F21" s="67">
        <v>1</v>
      </c>
      <c r="G21" s="67">
        <v>11</v>
      </c>
      <c r="H21" s="67">
        <v>60</v>
      </c>
      <c r="J21" s="125"/>
    </row>
    <row r="22" spans="1:11" s="62" customFormat="1" x14ac:dyDescent="0.25">
      <c r="A22" s="68" t="s">
        <v>53</v>
      </c>
      <c r="B22" s="67">
        <v>17</v>
      </c>
      <c r="C22" s="67">
        <v>10</v>
      </c>
      <c r="D22" s="67">
        <v>0</v>
      </c>
      <c r="E22" s="67">
        <v>3</v>
      </c>
      <c r="F22" s="67">
        <v>0</v>
      </c>
      <c r="G22" s="67">
        <v>15</v>
      </c>
      <c r="H22" s="67">
        <v>2</v>
      </c>
      <c r="J22" s="125"/>
    </row>
    <row r="23" spans="1:11" s="62" customFormat="1" x14ac:dyDescent="0.25">
      <c r="A23" s="68" t="s">
        <v>54</v>
      </c>
      <c r="B23" s="67">
        <v>42</v>
      </c>
      <c r="C23" s="67">
        <v>49</v>
      </c>
      <c r="D23" s="67">
        <v>0</v>
      </c>
      <c r="E23" s="67">
        <v>4</v>
      </c>
      <c r="F23" s="67">
        <v>0</v>
      </c>
      <c r="G23" s="67">
        <v>4</v>
      </c>
      <c r="H23" s="67">
        <v>43</v>
      </c>
      <c r="J23" s="125"/>
    </row>
    <row r="24" spans="1:11" s="62" customFormat="1" x14ac:dyDescent="0.25">
      <c r="A24" s="68" t="s">
        <v>55</v>
      </c>
      <c r="B24" s="67">
        <v>57</v>
      </c>
      <c r="C24" s="67">
        <v>58</v>
      </c>
      <c r="D24" s="67">
        <v>0</v>
      </c>
      <c r="E24" s="67">
        <v>1</v>
      </c>
      <c r="F24" s="67">
        <v>0</v>
      </c>
      <c r="G24" s="67">
        <v>14</v>
      </c>
      <c r="H24" s="67">
        <v>55</v>
      </c>
      <c r="J24" s="125"/>
    </row>
    <row r="25" spans="1:11" s="62" customFormat="1" x14ac:dyDescent="0.25">
      <c r="A25" s="68" t="s">
        <v>56</v>
      </c>
      <c r="B25" s="67">
        <v>31</v>
      </c>
      <c r="C25" s="67">
        <v>26</v>
      </c>
      <c r="D25" s="67">
        <v>0</v>
      </c>
      <c r="E25" s="67">
        <v>1</v>
      </c>
      <c r="F25" s="67">
        <v>0</v>
      </c>
      <c r="G25" s="67">
        <v>7</v>
      </c>
      <c r="H25" s="67">
        <v>16</v>
      </c>
      <c r="J25" s="125"/>
    </row>
    <row r="26" spans="1:11" s="62" customFormat="1" x14ac:dyDescent="0.25">
      <c r="A26" s="68" t="s">
        <v>57</v>
      </c>
      <c r="B26" s="67">
        <v>25</v>
      </c>
      <c r="C26" s="67">
        <v>20</v>
      </c>
      <c r="D26" s="67">
        <v>0</v>
      </c>
      <c r="E26" s="67">
        <v>4</v>
      </c>
      <c r="F26" s="67">
        <v>0</v>
      </c>
      <c r="G26" s="67">
        <v>8</v>
      </c>
      <c r="H26" s="67">
        <v>19</v>
      </c>
      <c r="J26" s="125"/>
    </row>
    <row r="27" spans="1:11" s="62" customFormat="1" x14ac:dyDescent="0.25">
      <c r="A27" s="68" t="s">
        <v>58</v>
      </c>
      <c r="B27" s="67">
        <v>30</v>
      </c>
      <c r="C27" s="67">
        <v>36</v>
      </c>
      <c r="D27" s="67">
        <v>0</v>
      </c>
      <c r="E27" s="67">
        <v>3</v>
      </c>
      <c r="F27" s="67">
        <v>0</v>
      </c>
      <c r="G27" s="67">
        <v>6</v>
      </c>
      <c r="H27" s="67">
        <v>49</v>
      </c>
      <c r="J27" s="125"/>
    </row>
    <row r="28" spans="1:11" s="62" customFormat="1" x14ac:dyDescent="0.25">
      <c r="A28" s="68" t="s">
        <v>59</v>
      </c>
      <c r="B28" s="67">
        <v>32</v>
      </c>
      <c r="C28" s="67">
        <v>17</v>
      </c>
      <c r="D28" s="67">
        <v>0</v>
      </c>
      <c r="E28" s="67">
        <v>0</v>
      </c>
      <c r="F28" s="67">
        <v>0</v>
      </c>
      <c r="G28" s="67">
        <v>7</v>
      </c>
      <c r="H28" s="67">
        <v>24</v>
      </c>
      <c r="J28" s="125"/>
    </row>
    <row r="29" spans="1:11" s="62" customFormat="1" x14ac:dyDescent="0.25">
      <c r="A29" s="68" t="s">
        <v>60</v>
      </c>
      <c r="B29" s="67">
        <v>48</v>
      </c>
      <c r="C29" s="67">
        <v>36</v>
      </c>
      <c r="D29" s="67">
        <v>0</v>
      </c>
      <c r="E29" s="67">
        <v>10</v>
      </c>
      <c r="F29" s="67">
        <v>0</v>
      </c>
      <c r="G29" s="67">
        <v>10</v>
      </c>
      <c r="H29" s="67">
        <v>60</v>
      </c>
      <c r="J29" s="125"/>
    </row>
    <row r="30" spans="1:11" s="62" customFormat="1" x14ac:dyDescent="0.25">
      <c r="A30" s="68" t="s">
        <v>61</v>
      </c>
      <c r="B30" s="67">
        <v>78</v>
      </c>
      <c r="C30" s="67">
        <v>48</v>
      </c>
      <c r="D30" s="67">
        <v>0</v>
      </c>
      <c r="E30" s="67">
        <v>6</v>
      </c>
      <c r="F30" s="67">
        <v>0</v>
      </c>
      <c r="G30" s="67">
        <v>13</v>
      </c>
      <c r="H30" s="67">
        <v>14</v>
      </c>
      <c r="J30" s="125"/>
    </row>
    <row r="31" spans="1:11" s="62" customFormat="1" x14ac:dyDescent="0.25">
      <c r="A31" s="68" t="s">
        <v>62</v>
      </c>
      <c r="B31" s="67">
        <v>109</v>
      </c>
      <c r="C31" s="67">
        <v>130</v>
      </c>
      <c r="D31" s="67">
        <v>0</v>
      </c>
      <c r="E31" s="67">
        <v>8</v>
      </c>
      <c r="F31" s="67">
        <v>1</v>
      </c>
      <c r="G31" s="67">
        <v>39</v>
      </c>
      <c r="H31" s="67">
        <v>134</v>
      </c>
      <c r="J31" s="125"/>
    </row>
    <row r="32" spans="1:11" s="62" customFormat="1" x14ac:dyDescent="0.25">
      <c r="A32" s="68" t="s">
        <v>63</v>
      </c>
      <c r="B32" s="67">
        <v>62</v>
      </c>
      <c r="C32" s="67">
        <v>73</v>
      </c>
      <c r="D32" s="67">
        <v>0</v>
      </c>
      <c r="E32" s="67">
        <v>12</v>
      </c>
      <c r="F32" s="67">
        <v>0</v>
      </c>
      <c r="G32" s="67">
        <v>30</v>
      </c>
      <c r="H32" s="67">
        <v>17</v>
      </c>
      <c r="J32" s="125"/>
    </row>
    <row r="33" spans="1:10" s="62" customFormat="1" x14ac:dyDescent="0.25">
      <c r="A33" s="68" t="s">
        <v>64</v>
      </c>
      <c r="B33" s="67">
        <v>19</v>
      </c>
      <c r="C33" s="67">
        <v>16</v>
      </c>
      <c r="D33" s="67">
        <v>0</v>
      </c>
      <c r="E33" s="67">
        <v>3</v>
      </c>
      <c r="F33" s="67">
        <v>0</v>
      </c>
      <c r="G33" s="67">
        <v>9</v>
      </c>
      <c r="H33" s="67">
        <v>23</v>
      </c>
      <c r="J33" s="125"/>
    </row>
    <row r="34" spans="1:10" s="62" customFormat="1" x14ac:dyDescent="0.25">
      <c r="A34" s="68" t="s">
        <v>65</v>
      </c>
      <c r="B34" s="67">
        <v>13</v>
      </c>
      <c r="C34" s="67">
        <v>15</v>
      </c>
      <c r="D34" s="67">
        <v>0</v>
      </c>
      <c r="E34" s="67">
        <v>3</v>
      </c>
      <c r="F34" s="67">
        <v>0</v>
      </c>
      <c r="G34" s="67">
        <v>6</v>
      </c>
      <c r="H34" s="67">
        <v>20</v>
      </c>
      <c r="J34" s="125"/>
    </row>
    <row r="35" spans="1:10" s="62" customFormat="1" x14ac:dyDescent="0.25">
      <c r="A35" s="68" t="s">
        <v>66</v>
      </c>
      <c r="B35" s="67">
        <v>47</v>
      </c>
      <c r="C35" s="67">
        <v>69</v>
      </c>
      <c r="D35" s="67">
        <v>0</v>
      </c>
      <c r="E35" s="67">
        <v>0</v>
      </c>
      <c r="F35" s="67">
        <v>0</v>
      </c>
      <c r="G35" s="67">
        <v>4</v>
      </c>
      <c r="H35" s="67">
        <v>28</v>
      </c>
      <c r="J35" s="125"/>
    </row>
    <row r="36" spans="1:10" s="62" customFormat="1" x14ac:dyDescent="0.25">
      <c r="A36" s="68" t="s">
        <v>67</v>
      </c>
      <c r="B36" s="67">
        <v>41</v>
      </c>
      <c r="C36" s="67">
        <v>36</v>
      </c>
      <c r="D36" s="67">
        <v>0</v>
      </c>
      <c r="E36" s="67">
        <v>0</v>
      </c>
      <c r="F36" s="67">
        <v>0</v>
      </c>
      <c r="G36" s="67">
        <v>10</v>
      </c>
      <c r="H36" s="67">
        <v>15</v>
      </c>
      <c r="J36" s="125"/>
    </row>
    <row r="37" spans="1:10" s="62" customFormat="1" x14ac:dyDescent="0.25">
      <c r="A37" s="68" t="s">
        <v>68</v>
      </c>
      <c r="B37" s="67">
        <v>35</v>
      </c>
      <c r="C37" s="67">
        <v>24</v>
      </c>
      <c r="D37" s="67">
        <v>0</v>
      </c>
      <c r="E37" s="67">
        <v>14</v>
      </c>
      <c r="F37" s="67">
        <v>0</v>
      </c>
      <c r="G37" s="67">
        <v>13</v>
      </c>
      <c r="H37" s="67">
        <v>21</v>
      </c>
      <c r="J37" s="125"/>
    </row>
    <row r="38" spans="1:10" s="62" customFormat="1" x14ac:dyDescent="0.25">
      <c r="A38" s="68" t="s">
        <v>69</v>
      </c>
      <c r="B38" s="67">
        <v>23</v>
      </c>
      <c r="C38" s="67">
        <v>18</v>
      </c>
      <c r="D38" s="67">
        <v>0</v>
      </c>
      <c r="E38" s="67">
        <v>1</v>
      </c>
      <c r="F38" s="67">
        <v>0</v>
      </c>
      <c r="G38" s="67">
        <v>6</v>
      </c>
      <c r="H38" s="67">
        <v>19</v>
      </c>
      <c r="J38" s="125"/>
    </row>
    <row r="39" spans="1:10" s="62" customFormat="1" x14ac:dyDescent="0.25">
      <c r="A39" s="68" t="s">
        <v>70</v>
      </c>
      <c r="B39" s="67">
        <v>35</v>
      </c>
      <c r="C39" s="67">
        <v>32</v>
      </c>
      <c r="D39" s="67">
        <v>0</v>
      </c>
      <c r="E39" s="67">
        <v>2</v>
      </c>
      <c r="F39" s="67">
        <v>1</v>
      </c>
      <c r="G39" s="67">
        <v>14</v>
      </c>
      <c r="H39" s="67">
        <v>54</v>
      </c>
      <c r="J39" s="125"/>
    </row>
    <row r="40" spans="1:10" s="62" customFormat="1" x14ac:dyDescent="0.25">
      <c r="A40" s="68" t="s">
        <v>71</v>
      </c>
      <c r="B40" s="67">
        <v>21</v>
      </c>
      <c r="C40" s="67">
        <v>18</v>
      </c>
      <c r="D40" s="67">
        <v>0</v>
      </c>
      <c r="E40" s="67">
        <v>1</v>
      </c>
      <c r="F40" s="67">
        <v>0</v>
      </c>
      <c r="G40" s="67">
        <v>5</v>
      </c>
      <c r="H40" s="67">
        <v>13</v>
      </c>
      <c r="J40" s="125"/>
    </row>
    <row r="41" spans="1:10" s="62" customFormat="1" x14ac:dyDescent="0.25">
      <c r="A41" s="68" t="s">
        <v>72</v>
      </c>
      <c r="B41" s="67">
        <v>11</v>
      </c>
      <c r="C41" s="67">
        <v>3</v>
      </c>
      <c r="D41" s="67">
        <v>0</v>
      </c>
      <c r="E41" s="67">
        <v>10</v>
      </c>
      <c r="F41" s="67">
        <v>0</v>
      </c>
      <c r="G41" s="67">
        <v>11</v>
      </c>
      <c r="H41" s="67">
        <v>0</v>
      </c>
      <c r="J41" s="125"/>
    </row>
    <row r="42" spans="1:10" s="62" customFormat="1" x14ac:dyDescent="0.25">
      <c r="A42" s="68" t="s">
        <v>73</v>
      </c>
      <c r="B42" s="67">
        <v>58</v>
      </c>
      <c r="C42" s="67">
        <v>35</v>
      </c>
      <c r="D42" s="67">
        <v>0</v>
      </c>
      <c r="E42" s="67">
        <v>11</v>
      </c>
      <c r="F42" s="67">
        <v>0</v>
      </c>
      <c r="G42" s="67">
        <v>13</v>
      </c>
      <c r="H42" s="67">
        <v>50</v>
      </c>
      <c r="J42" s="125"/>
    </row>
    <row r="43" spans="1:10" s="62" customFormat="1" x14ac:dyDescent="0.25">
      <c r="A43" s="68" t="s">
        <v>74</v>
      </c>
      <c r="B43" s="67">
        <v>33</v>
      </c>
      <c r="C43" s="67">
        <v>18</v>
      </c>
      <c r="D43" s="67">
        <v>0</v>
      </c>
      <c r="E43" s="67">
        <v>1</v>
      </c>
      <c r="F43" s="67">
        <v>0</v>
      </c>
      <c r="G43" s="67">
        <v>9</v>
      </c>
      <c r="H43" s="67">
        <v>15</v>
      </c>
      <c r="J43" s="125"/>
    </row>
    <row r="44" spans="1:10" s="62" customFormat="1" x14ac:dyDescent="0.25">
      <c r="A44" s="68" t="s">
        <v>75</v>
      </c>
      <c r="B44" s="67">
        <v>39</v>
      </c>
      <c r="C44" s="67">
        <v>47</v>
      </c>
      <c r="D44" s="67">
        <v>0</v>
      </c>
      <c r="E44" s="67">
        <v>8</v>
      </c>
      <c r="F44" s="67">
        <v>1</v>
      </c>
      <c r="G44" s="67">
        <v>17</v>
      </c>
      <c r="H44" s="67">
        <v>30</v>
      </c>
      <c r="J44" s="125"/>
    </row>
    <row r="45" spans="1:10" s="62" customFormat="1" x14ac:dyDescent="0.25">
      <c r="A45" s="68" t="s">
        <v>76</v>
      </c>
      <c r="B45" s="67">
        <v>87</v>
      </c>
      <c r="C45" s="67">
        <v>87</v>
      </c>
      <c r="D45" s="67">
        <v>0</v>
      </c>
      <c r="E45" s="67">
        <v>0</v>
      </c>
      <c r="F45" s="67">
        <v>0</v>
      </c>
      <c r="G45" s="67">
        <v>32</v>
      </c>
      <c r="H45" s="67">
        <v>44</v>
      </c>
      <c r="J45" s="125"/>
    </row>
    <row r="46" spans="1:10" s="62" customFormat="1" x14ac:dyDescent="0.25">
      <c r="A46" s="68" t="s">
        <v>77</v>
      </c>
      <c r="B46" s="67">
        <v>46</v>
      </c>
      <c r="C46" s="67">
        <v>47</v>
      </c>
      <c r="D46" s="67">
        <v>0</v>
      </c>
      <c r="E46" s="67">
        <v>5</v>
      </c>
      <c r="F46" s="67">
        <v>0</v>
      </c>
      <c r="G46" s="67">
        <v>12</v>
      </c>
      <c r="H46" s="67">
        <v>46</v>
      </c>
      <c r="J46" s="125"/>
    </row>
    <row r="47" spans="1:10" s="62" customFormat="1" x14ac:dyDescent="0.25">
      <c r="A47" s="68" t="s">
        <v>78</v>
      </c>
      <c r="B47" s="67">
        <v>60</v>
      </c>
      <c r="C47" s="67">
        <v>46</v>
      </c>
      <c r="D47" s="67">
        <v>0</v>
      </c>
      <c r="E47" s="67">
        <v>7</v>
      </c>
      <c r="F47" s="67">
        <v>0</v>
      </c>
      <c r="G47" s="67">
        <v>25</v>
      </c>
      <c r="H47" s="67">
        <v>60</v>
      </c>
      <c r="J47" s="125"/>
    </row>
    <row r="48" spans="1:10" s="62" customFormat="1" x14ac:dyDescent="0.25">
      <c r="A48" s="68" t="s">
        <v>79</v>
      </c>
      <c r="B48" s="67">
        <v>1</v>
      </c>
      <c r="C48" s="67">
        <v>1</v>
      </c>
      <c r="D48" s="67">
        <v>0</v>
      </c>
      <c r="E48" s="67">
        <v>0</v>
      </c>
      <c r="F48" s="67">
        <v>0</v>
      </c>
      <c r="G48" s="67">
        <v>4</v>
      </c>
      <c r="H48" s="67">
        <v>5</v>
      </c>
      <c r="J48" s="125"/>
    </row>
    <row r="49" spans="1:10" s="62" customFormat="1" x14ac:dyDescent="0.25">
      <c r="A49" s="68" t="s">
        <v>80</v>
      </c>
      <c r="B49" s="67">
        <v>45</v>
      </c>
      <c r="C49" s="67">
        <v>31</v>
      </c>
      <c r="D49" s="67">
        <v>0</v>
      </c>
      <c r="E49" s="67">
        <v>13</v>
      </c>
      <c r="F49" s="67">
        <v>0</v>
      </c>
      <c r="G49" s="67">
        <v>26</v>
      </c>
      <c r="H49" s="67">
        <v>0</v>
      </c>
      <c r="J49" s="125"/>
    </row>
    <row r="50" spans="1:10" s="62" customFormat="1" x14ac:dyDescent="0.25">
      <c r="A50" s="68" t="s">
        <v>81</v>
      </c>
      <c r="B50" s="67">
        <v>28</v>
      </c>
      <c r="C50" s="67">
        <v>28</v>
      </c>
      <c r="D50" s="67">
        <v>0</v>
      </c>
      <c r="E50" s="67">
        <v>3</v>
      </c>
      <c r="F50" s="67">
        <v>0</v>
      </c>
      <c r="G50" s="67">
        <v>12</v>
      </c>
      <c r="H50" s="67">
        <v>13</v>
      </c>
      <c r="J50" s="125"/>
    </row>
    <row r="51" spans="1:10" s="62" customFormat="1" x14ac:dyDescent="0.25">
      <c r="A51" s="68" t="s">
        <v>82</v>
      </c>
      <c r="B51" s="67">
        <v>51</v>
      </c>
      <c r="C51" s="67">
        <v>43</v>
      </c>
      <c r="D51" s="67">
        <v>0</v>
      </c>
      <c r="E51" s="67">
        <v>1</v>
      </c>
      <c r="F51" s="67">
        <v>0</v>
      </c>
      <c r="G51" s="67">
        <v>5</v>
      </c>
      <c r="H51" s="67">
        <v>72</v>
      </c>
      <c r="J51" s="125"/>
    </row>
    <row r="52" spans="1:10" s="62" customFormat="1" x14ac:dyDescent="0.25">
      <c r="A52" s="68" t="s">
        <v>83</v>
      </c>
      <c r="B52" s="67">
        <v>14</v>
      </c>
      <c r="C52" s="67">
        <v>11</v>
      </c>
      <c r="D52" s="67">
        <v>0</v>
      </c>
      <c r="E52" s="67">
        <v>3</v>
      </c>
      <c r="F52" s="67">
        <v>0</v>
      </c>
      <c r="G52" s="67">
        <v>1</v>
      </c>
      <c r="H52" s="67">
        <v>13</v>
      </c>
      <c r="J52" s="125"/>
    </row>
    <row r="53" spans="1:10" s="62" customFormat="1" x14ac:dyDescent="0.25">
      <c r="A53" s="68" t="s">
        <v>84</v>
      </c>
      <c r="B53" s="67">
        <v>54</v>
      </c>
      <c r="C53" s="67">
        <v>54</v>
      </c>
      <c r="D53" s="67">
        <v>0</v>
      </c>
      <c r="E53" s="67">
        <v>2</v>
      </c>
      <c r="F53" s="67">
        <v>0</v>
      </c>
      <c r="G53" s="67">
        <v>3</v>
      </c>
      <c r="H53" s="67">
        <v>63</v>
      </c>
      <c r="J53" s="125"/>
    </row>
    <row r="54" spans="1:10" s="62" customFormat="1" x14ac:dyDescent="0.25">
      <c r="A54" s="68" t="s">
        <v>86</v>
      </c>
      <c r="B54" s="67">
        <v>230</v>
      </c>
      <c r="C54" s="67">
        <v>200</v>
      </c>
      <c r="D54" s="67">
        <v>0</v>
      </c>
      <c r="E54" s="67">
        <v>27</v>
      </c>
      <c r="F54" s="67">
        <v>0</v>
      </c>
      <c r="G54" s="67">
        <v>27</v>
      </c>
      <c r="H54" s="67">
        <v>326</v>
      </c>
      <c r="J54" s="125"/>
    </row>
    <row r="55" spans="1:10" s="62" customFormat="1" x14ac:dyDescent="0.25">
      <c r="A55" s="68" t="s">
        <v>87</v>
      </c>
      <c r="B55" s="67">
        <v>9</v>
      </c>
      <c r="C55" s="67">
        <v>9</v>
      </c>
      <c r="D55" s="67">
        <v>0</v>
      </c>
      <c r="E55" s="67">
        <v>1</v>
      </c>
      <c r="F55" s="67">
        <v>0</v>
      </c>
      <c r="G55" s="67">
        <v>3</v>
      </c>
      <c r="H55" s="67">
        <v>4</v>
      </c>
      <c r="J55" s="125"/>
    </row>
    <row r="56" spans="1:10" s="62" customFormat="1" x14ac:dyDescent="0.25">
      <c r="A56" s="68" t="s">
        <v>88</v>
      </c>
      <c r="B56" s="67">
        <v>29</v>
      </c>
      <c r="C56" s="67">
        <v>31</v>
      </c>
      <c r="D56" s="67">
        <v>0</v>
      </c>
      <c r="E56" s="67">
        <v>9</v>
      </c>
      <c r="F56" s="67">
        <v>0</v>
      </c>
      <c r="G56" s="67">
        <v>6</v>
      </c>
      <c r="H56" s="67">
        <v>44</v>
      </c>
      <c r="J56" s="125"/>
    </row>
    <row r="57" spans="1:10" s="62" customFormat="1" x14ac:dyDescent="0.25">
      <c r="A57" s="68" t="s">
        <v>89</v>
      </c>
      <c r="B57" s="67">
        <v>43</v>
      </c>
      <c r="C57" s="67">
        <v>27</v>
      </c>
      <c r="D57" s="67">
        <v>0</v>
      </c>
      <c r="E57" s="67">
        <v>6</v>
      </c>
      <c r="F57" s="67">
        <v>0</v>
      </c>
      <c r="G57" s="67">
        <v>38</v>
      </c>
      <c r="H57" s="67">
        <v>2</v>
      </c>
      <c r="J57" s="125"/>
    </row>
    <row r="58" spans="1:10" s="62" customFormat="1" x14ac:dyDescent="0.25">
      <c r="A58" s="69" t="s">
        <v>90</v>
      </c>
      <c r="B58" s="67">
        <v>0</v>
      </c>
      <c r="C58" s="67">
        <v>0</v>
      </c>
      <c r="D58" s="67">
        <v>0</v>
      </c>
      <c r="E58" s="67">
        <v>0</v>
      </c>
      <c r="F58" s="67">
        <v>0</v>
      </c>
      <c r="G58" s="67">
        <v>1</v>
      </c>
      <c r="H58" s="67">
        <v>0</v>
      </c>
      <c r="J58" s="125"/>
    </row>
    <row r="59" spans="1:10" s="62" customFormat="1" x14ac:dyDescent="0.25">
      <c r="A59" s="68" t="s">
        <v>91</v>
      </c>
      <c r="B59" s="67">
        <v>74</v>
      </c>
      <c r="C59" s="67">
        <v>35</v>
      </c>
      <c r="D59" s="67">
        <v>0</v>
      </c>
      <c r="E59" s="67">
        <v>26</v>
      </c>
      <c r="F59" s="67">
        <v>0</v>
      </c>
      <c r="G59" s="67">
        <v>13</v>
      </c>
      <c r="H59" s="67">
        <v>35</v>
      </c>
      <c r="J59" s="125"/>
    </row>
    <row r="60" spans="1:10" s="62" customFormat="1" x14ac:dyDescent="0.25">
      <c r="A60" s="68" t="s">
        <v>92</v>
      </c>
      <c r="B60" s="67">
        <v>56</v>
      </c>
      <c r="C60" s="67">
        <v>37</v>
      </c>
      <c r="D60" s="67">
        <v>0</v>
      </c>
      <c r="E60" s="67">
        <v>12</v>
      </c>
      <c r="F60" s="67">
        <v>1</v>
      </c>
      <c r="G60" s="67">
        <v>29</v>
      </c>
      <c r="H60" s="67">
        <v>16</v>
      </c>
      <c r="J60" s="125"/>
    </row>
    <row r="61" spans="1:10" s="62" customFormat="1" x14ac:dyDescent="0.25">
      <c r="A61" s="68" t="s">
        <v>93</v>
      </c>
      <c r="B61" s="67">
        <v>23</v>
      </c>
      <c r="C61" s="67">
        <v>17</v>
      </c>
      <c r="D61" s="67">
        <v>0</v>
      </c>
      <c r="E61" s="67">
        <v>4</v>
      </c>
      <c r="F61" s="67">
        <v>0</v>
      </c>
      <c r="G61" s="67">
        <v>6</v>
      </c>
      <c r="H61" s="67">
        <v>18</v>
      </c>
      <c r="J61" s="125"/>
    </row>
    <row r="62" spans="1:10" s="62" customFormat="1" x14ac:dyDescent="0.25">
      <c r="A62" s="68" t="s">
        <v>94</v>
      </c>
      <c r="B62" s="67">
        <v>30</v>
      </c>
      <c r="C62" s="67">
        <v>19</v>
      </c>
      <c r="D62" s="67">
        <v>0</v>
      </c>
      <c r="E62" s="67">
        <v>5</v>
      </c>
      <c r="F62" s="67">
        <v>0</v>
      </c>
      <c r="G62" s="67">
        <v>10</v>
      </c>
      <c r="H62" s="67">
        <v>16</v>
      </c>
      <c r="J62" s="125"/>
    </row>
    <row r="63" spans="1:10" s="62" customFormat="1" x14ac:dyDescent="0.25">
      <c r="A63" s="68" t="s">
        <v>95</v>
      </c>
      <c r="B63" s="67">
        <v>47</v>
      </c>
      <c r="C63" s="67">
        <v>48</v>
      </c>
      <c r="D63" s="67">
        <v>0</v>
      </c>
      <c r="E63" s="67">
        <v>1</v>
      </c>
      <c r="F63" s="67">
        <v>0</v>
      </c>
      <c r="G63" s="67">
        <v>5</v>
      </c>
      <c r="H63" s="67">
        <v>26</v>
      </c>
      <c r="J63" s="125"/>
    </row>
    <row r="64" spans="1:10" s="62" customFormat="1" ht="19.5" thickBot="1" x14ac:dyDescent="0.3">
      <c r="A64" s="46" t="s">
        <v>114</v>
      </c>
      <c r="B64" s="70">
        <v>3104</v>
      </c>
      <c r="C64" s="70">
        <v>2665</v>
      </c>
      <c r="D64" s="70">
        <v>1</v>
      </c>
      <c r="E64" s="70">
        <v>422</v>
      </c>
      <c r="F64" s="70">
        <v>21</v>
      </c>
      <c r="G64" s="70">
        <v>770</v>
      </c>
      <c r="H64" s="70">
        <v>3159</v>
      </c>
      <c r="J64" s="125"/>
    </row>
    <row r="65" spans="1:9" s="62" customFormat="1" x14ac:dyDescent="0.25">
      <c r="A65" s="71"/>
      <c r="B65" s="71"/>
      <c r="C65" s="71"/>
      <c r="D65" s="71"/>
      <c r="E65" s="71"/>
      <c r="F65" s="71"/>
      <c r="G65" s="71"/>
      <c r="H65" s="71"/>
    </row>
    <row r="66" spans="1:9" s="62" customFormat="1" x14ac:dyDescent="0.25"/>
    <row r="67" spans="1:9" s="62" customFormat="1" x14ac:dyDescent="0.25">
      <c r="A67" s="72" t="s">
        <v>98</v>
      </c>
    </row>
    <row r="68" spans="1:9" s="62" customFormat="1" x14ac:dyDescent="0.25">
      <c r="A68" s="149" t="s">
        <v>115</v>
      </c>
      <c r="B68" s="149"/>
      <c r="C68" s="149"/>
      <c r="D68" s="149"/>
      <c r="E68" s="149"/>
      <c r="F68" s="149"/>
      <c r="G68" s="149"/>
      <c r="H68" s="149"/>
    </row>
    <row r="69" spans="1:9" s="62" customFormat="1" x14ac:dyDescent="0.25">
      <c r="A69" s="73" t="s">
        <v>116</v>
      </c>
    </row>
    <row r="70" spans="1:9" s="62" customFormat="1" x14ac:dyDescent="0.25">
      <c r="A70" s="150"/>
      <c r="B70" s="150"/>
      <c r="C70" s="150"/>
      <c r="D70" s="150"/>
      <c r="E70" s="150"/>
      <c r="F70" s="150"/>
      <c r="G70" s="150"/>
      <c r="H70" s="150"/>
      <c r="I70" s="74"/>
    </row>
    <row r="71" spans="1:9" s="62" customFormat="1" x14ac:dyDescent="0.25">
      <c r="A71" s="22"/>
    </row>
    <row r="72" spans="1:9" s="62" customFormat="1" x14ac:dyDescent="0.25">
      <c r="A72" s="72" t="s">
        <v>117</v>
      </c>
    </row>
    <row r="73" spans="1:9" s="62" customFormat="1" ht="29.25" customHeight="1" x14ac:dyDescent="0.25">
      <c r="A73" s="145" t="s">
        <v>118</v>
      </c>
      <c r="B73" s="145"/>
      <c r="C73" s="145"/>
      <c r="D73" s="145"/>
      <c r="E73" s="145"/>
      <c r="F73" s="145"/>
      <c r="G73" s="145"/>
      <c r="H73" s="145"/>
    </row>
    <row r="74" spans="1:9" s="62" customFormat="1" ht="26.25" customHeight="1" x14ac:dyDescent="0.25">
      <c r="A74" s="145" t="s">
        <v>119</v>
      </c>
      <c r="B74" s="145"/>
      <c r="C74" s="145"/>
      <c r="D74" s="145"/>
      <c r="E74" s="145"/>
      <c r="F74" s="145"/>
      <c r="G74" s="145"/>
      <c r="H74" s="145"/>
    </row>
    <row r="75" spans="1:9" s="62" customFormat="1" ht="27" customHeight="1" x14ac:dyDescent="0.25">
      <c r="A75" s="145" t="s">
        <v>120</v>
      </c>
      <c r="B75" s="145"/>
      <c r="C75" s="145"/>
      <c r="D75" s="145"/>
      <c r="E75" s="145"/>
      <c r="F75" s="145"/>
      <c r="G75" s="145"/>
      <c r="H75" s="145"/>
    </row>
    <row r="76" spans="1:9" s="62" customFormat="1" ht="39" customHeight="1" x14ac:dyDescent="0.25">
      <c r="A76" s="145" t="s">
        <v>121</v>
      </c>
      <c r="B76" s="145"/>
      <c r="C76" s="145"/>
      <c r="D76" s="145"/>
      <c r="E76" s="145"/>
      <c r="F76" s="145"/>
      <c r="G76" s="145"/>
      <c r="H76" s="145"/>
    </row>
    <row r="77" spans="1:9" s="62" customFormat="1" x14ac:dyDescent="0.25">
      <c r="A77" s="22" t="s">
        <v>122</v>
      </c>
    </row>
    <row r="78" spans="1:9" s="62" customFormat="1" x14ac:dyDescent="0.25">
      <c r="A78" s="22" t="s">
        <v>123</v>
      </c>
    </row>
  </sheetData>
  <mergeCells count="9">
    <mergeCell ref="A73:H73"/>
    <mergeCell ref="A74:H74"/>
    <mergeCell ref="A75:H75"/>
    <mergeCell ref="A76:H76"/>
    <mergeCell ref="B3:B4"/>
    <mergeCell ref="C3:E4"/>
    <mergeCell ref="F3:H4"/>
    <mergeCell ref="A68:H68"/>
    <mergeCell ref="A70:H70"/>
  </mergeCells>
  <pageMargins left="0.7" right="0.7" top="0.75" bottom="0.75" header="0.3" footer="0.3"/>
  <pageSetup orientation="portrait" r:id="rId1"/>
  <headerFooter>
    <oddHeader>&amp;C&amp;"Calibri"&amp;10&amp;K000000 Internal Use Only&amp;1#_x000D_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7"/>
  <sheetViews>
    <sheetView workbookViewId="0"/>
  </sheetViews>
  <sheetFormatPr defaultRowHeight="15" x14ac:dyDescent="0.25"/>
  <cols>
    <col min="1" max="1" width="18.42578125" customWidth="1"/>
    <col min="2" max="2" width="16.85546875" customWidth="1"/>
    <col min="3" max="5" width="11.5703125" customWidth="1"/>
    <col min="6" max="8" width="11.85546875" customWidth="1"/>
    <col min="11" max="11" width="0" hidden="1" customWidth="1"/>
  </cols>
  <sheetData>
    <row r="1" spans="1:8" s="62" customFormat="1" ht="24.75" customHeight="1" x14ac:dyDescent="0.25">
      <c r="A1" s="76" t="s">
        <v>191</v>
      </c>
      <c r="B1" s="77"/>
      <c r="C1" s="77"/>
      <c r="D1" s="77"/>
      <c r="E1" s="77"/>
      <c r="F1" s="77"/>
      <c r="G1" s="77"/>
      <c r="H1" s="77"/>
    </row>
    <row r="2" spans="1:8" s="62" customFormat="1" ht="15.75" thickBot="1" x14ac:dyDescent="0.3"/>
    <row r="3" spans="1:8" s="62" customFormat="1" ht="20.25" customHeight="1" thickBot="1" x14ac:dyDescent="0.3">
      <c r="A3" s="61"/>
      <c r="B3" s="146" t="s">
        <v>105</v>
      </c>
      <c r="C3" s="147" t="s">
        <v>106</v>
      </c>
      <c r="D3" s="147"/>
      <c r="E3" s="147"/>
      <c r="F3" s="148" t="s">
        <v>107</v>
      </c>
      <c r="G3" s="148"/>
      <c r="H3" s="148"/>
    </row>
    <row r="4" spans="1:8" s="62" customFormat="1" ht="20.25" customHeight="1" thickBot="1" x14ac:dyDescent="0.3">
      <c r="B4" s="146"/>
      <c r="C4" s="147"/>
      <c r="D4" s="147"/>
      <c r="E4" s="147"/>
      <c r="F4" s="148"/>
      <c r="G4" s="148"/>
      <c r="H4" s="148"/>
    </row>
    <row r="5" spans="1:8" s="62" customFormat="1" ht="15" customHeight="1" thickBot="1" x14ac:dyDescent="0.3">
      <c r="A5" s="63" t="s">
        <v>28</v>
      </c>
      <c r="B5" s="65" t="s">
        <v>105</v>
      </c>
      <c r="C5" s="65" t="s">
        <v>108</v>
      </c>
      <c r="D5" s="65" t="s">
        <v>109</v>
      </c>
      <c r="E5" s="65" t="s">
        <v>110</v>
      </c>
      <c r="F5" s="65" t="s">
        <v>111</v>
      </c>
      <c r="G5" s="65" t="s">
        <v>112</v>
      </c>
      <c r="H5" s="65" t="s">
        <v>113</v>
      </c>
    </row>
    <row r="6" spans="1:8" s="62" customFormat="1" x14ac:dyDescent="0.25">
      <c r="A6" s="66" t="s">
        <v>35</v>
      </c>
      <c r="B6" s="67">
        <v>1591</v>
      </c>
      <c r="C6" s="67">
        <v>1883</v>
      </c>
      <c r="D6" s="67">
        <v>0</v>
      </c>
      <c r="E6" s="67">
        <v>172</v>
      </c>
      <c r="F6" s="67">
        <v>0</v>
      </c>
      <c r="G6" s="67">
        <v>53</v>
      </c>
      <c r="H6" s="67">
        <v>3009</v>
      </c>
    </row>
    <row r="7" spans="1:8" s="62" customFormat="1" x14ac:dyDescent="0.25">
      <c r="A7" s="68" t="s">
        <v>36</v>
      </c>
      <c r="B7" s="67">
        <v>347</v>
      </c>
      <c r="C7" s="67">
        <v>315</v>
      </c>
      <c r="D7" s="67">
        <v>0</v>
      </c>
      <c r="E7" s="67">
        <v>21</v>
      </c>
      <c r="F7" s="67">
        <v>0</v>
      </c>
      <c r="G7" s="67">
        <v>19</v>
      </c>
      <c r="H7" s="67">
        <v>555</v>
      </c>
    </row>
    <row r="8" spans="1:8" s="62" customFormat="1" x14ac:dyDescent="0.25">
      <c r="A8" s="68" t="s">
        <v>37</v>
      </c>
      <c r="B8" s="67">
        <v>1766</v>
      </c>
      <c r="C8" s="67">
        <v>1673</v>
      </c>
      <c r="D8" s="67">
        <v>0</v>
      </c>
      <c r="E8" s="67">
        <v>46</v>
      </c>
      <c r="F8" s="67">
        <v>1</v>
      </c>
      <c r="G8" s="67">
        <v>59</v>
      </c>
      <c r="H8" s="67">
        <v>4519</v>
      </c>
    </row>
    <row r="9" spans="1:8" s="62" customFormat="1" x14ac:dyDescent="0.25">
      <c r="A9" s="68" t="s">
        <v>39</v>
      </c>
      <c r="B9" s="67">
        <v>1040</v>
      </c>
      <c r="C9" s="67">
        <v>997</v>
      </c>
      <c r="D9" s="67">
        <v>0</v>
      </c>
      <c r="E9" s="67">
        <v>65</v>
      </c>
      <c r="F9" s="67">
        <v>0</v>
      </c>
      <c r="G9" s="67">
        <v>373</v>
      </c>
      <c r="H9" s="67">
        <v>1561</v>
      </c>
    </row>
    <row r="10" spans="1:8" s="62" customFormat="1" x14ac:dyDescent="0.25">
      <c r="A10" s="68" t="s">
        <v>40</v>
      </c>
      <c r="B10" s="67">
        <v>713</v>
      </c>
      <c r="C10" s="67">
        <v>316</v>
      </c>
      <c r="D10" s="67">
        <v>4</v>
      </c>
      <c r="E10" s="67">
        <v>42</v>
      </c>
      <c r="F10" s="67">
        <v>3</v>
      </c>
      <c r="G10" s="67">
        <v>0</v>
      </c>
      <c r="H10" s="67">
        <v>2909</v>
      </c>
    </row>
    <row r="11" spans="1:8" s="62" customFormat="1" x14ac:dyDescent="0.25">
      <c r="A11" s="68" t="s">
        <v>41</v>
      </c>
      <c r="B11" s="67">
        <v>2691</v>
      </c>
      <c r="C11" s="67">
        <v>1910</v>
      </c>
      <c r="D11" s="67">
        <v>1</v>
      </c>
      <c r="E11" s="67">
        <v>230</v>
      </c>
      <c r="F11" s="67">
        <v>1</v>
      </c>
      <c r="G11" s="67">
        <v>110</v>
      </c>
      <c r="H11" s="67">
        <v>8794</v>
      </c>
    </row>
    <row r="12" spans="1:8" s="62" customFormat="1" x14ac:dyDescent="0.25">
      <c r="A12" s="66" t="s">
        <v>42</v>
      </c>
      <c r="B12" s="67">
        <v>1589</v>
      </c>
      <c r="C12" s="67">
        <v>1146</v>
      </c>
      <c r="D12" s="67">
        <v>0</v>
      </c>
      <c r="E12" s="67">
        <v>174</v>
      </c>
      <c r="F12" s="67">
        <v>0</v>
      </c>
      <c r="G12" s="67">
        <v>5</v>
      </c>
      <c r="H12" s="67">
        <v>3390</v>
      </c>
    </row>
    <row r="13" spans="1:8" s="62" customFormat="1" x14ac:dyDescent="0.25">
      <c r="A13" s="68" t="s">
        <v>44</v>
      </c>
      <c r="B13" s="67">
        <v>978</v>
      </c>
      <c r="C13" s="67">
        <v>911</v>
      </c>
      <c r="D13" s="67">
        <v>0</v>
      </c>
      <c r="E13" s="67">
        <v>60</v>
      </c>
      <c r="F13" s="67">
        <v>0</v>
      </c>
      <c r="G13" s="67">
        <v>49</v>
      </c>
      <c r="H13" s="67">
        <v>2036</v>
      </c>
    </row>
    <row r="14" spans="1:8" s="62" customFormat="1" x14ac:dyDescent="0.25">
      <c r="A14" s="68" t="s">
        <v>45</v>
      </c>
      <c r="B14" s="67">
        <v>585</v>
      </c>
      <c r="C14" s="67">
        <v>567</v>
      </c>
      <c r="D14" s="67">
        <v>0</v>
      </c>
      <c r="E14" s="67">
        <v>4</v>
      </c>
      <c r="F14" s="67">
        <v>0</v>
      </c>
      <c r="G14" s="67">
        <v>54</v>
      </c>
      <c r="H14" s="67">
        <v>1132</v>
      </c>
    </row>
    <row r="15" spans="1:8" s="62" customFormat="1" x14ac:dyDescent="0.25">
      <c r="A15" s="68" t="s">
        <v>46</v>
      </c>
      <c r="B15" s="67">
        <v>527</v>
      </c>
      <c r="C15" s="67">
        <v>488</v>
      </c>
      <c r="D15" s="67">
        <v>0</v>
      </c>
      <c r="E15" s="67">
        <v>44</v>
      </c>
      <c r="F15" s="67">
        <v>0</v>
      </c>
      <c r="G15" s="67">
        <v>17</v>
      </c>
      <c r="H15" s="67">
        <v>1106</v>
      </c>
    </row>
    <row r="16" spans="1:8" s="62" customFormat="1" x14ac:dyDescent="0.25">
      <c r="A16" s="68" t="s">
        <v>47</v>
      </c>
      <c r="B16" s="67">
        <v>3242</v>
      </c>
      <c r="C16" s="67">
        <v>2549</v>
      </c>
      <c r="D16" s="67">
        <v>7</v>
      </c>
      <c r="E16" s="67">
        <v>340</v>
      </c>
      <c r="F16" s="67">
        <v>0</v>
      </c>
      <c r="G16" s="67">
        <v>104</v>
      </c>
      <c r="H16" s="67">
        <v>9199</v>
      </c>
    </row>
    <row r="17" spans="1:11" s="62" customFormat="1" x14ac:dyDescent="0.25">
      <c r="A17" s="68" t="s">
        <v>48</v>
      </c>
      <c r="B17" s="67">
        <v>2371</v>
      </c>
      <c r="C17" s="67">
        <v>2181</v>
      </c>
      <c r="D17" s="67">
        <v>23</v>
      </c>
      <c r="E17" s="67">
        <v>111</v>
      </c>
      <c r="F17" s="67">
        <v>1</v>
      </c>
      <c r="G17" s="67">
        <v>157</v>
      </c>
      <c r="H17" s="67">
        <v>5345</v>
      </c>
    </row>
    <row r="18" spans="1:11" s="62" customFormat="1" x14ac:dyDescent="0.25">
      <c r="A18" s="68" t="s">
        <v>49</v>
      </c>
      <c r="B18" s="67">
        <v>5</v>
      </c>
      <c r="C18" s="67">
        <v>0</v>
      </c>
      <c r="D18" s="67">
        <v>0</v>
      </c>
      <c r="E18" s="67">
        <v>0</v>
      </c>
      <c r="F18" s="67">
        <v>0</v>
      </c>
      <c r="G18" s="67">
        <v>0</v>
      </c>
      <c r="H18" s="67">
        <v>3</v>
      </c>
    </row>
    <row r="19" spans="1:11" s="62" customFormat="1" x14ac:dyDescent="0.25">
      <c r="A19" s="68" t="s">
        <v>50</v>
      </c>
      <c r="B19" s="67">
        <v>272</v>
      </c>
      <c r="C19" s="67">
        <v>419</v>
      </c>
      <c r="D19" s="80" t="s">
        <v>199</v>
      </c>
      <c r="E19" s="67">
        <v>16</v>
      </c>
      <c r="F19" s="67">
        <v>0</v>
      </c>
      <c r="G19" s="67">
        <v>13</v>
      </c>
      <c r="H19" s="67">
        <v>576</v>
      </c>
      <c r="K19" s="78" t="s">
        <v>124</v>
      </c>
    </row>
    <row r="20" spans="1:11" s="62" customFormat="1" x14ac:dyDescent="0.25">
      <c r="A20" s="68" t="s">
        <v>51</v>
      </c>
      <c r="B20" s="67">
        <v>913</v>
      </c>
      <c r="C20" s="67">
        <v>755</v>
      </c>
      <c r="D20" s="67">
        <v>8</v>
      </c>
      <c r="E20" s="67">
        <v>171</v>
      </c>
      <c r="F20" s="67">
        <v>0</v>
      </c>
      <c r="G20" s="67">
        <v>225</v>
      </c>
      <c r="H20" s="67">
        <v>1295</v>
      </c>
    </row>
    <row r="21" spans="1:11" s="62" customFormat="1" x14ac:dyDescent="0.25">
      <c r="A21" s="68" t="s">
        <v>52</v>
      </c>
      <c r="B21" s="67">
        <v>1591</v>
      </c>
      <c r="C21" s="67">
        <v>1391</v>
      </c>
      <c r="D21" s="67">
        <v>0</v>
      </c>
      <c r="E21" s="67">
        <v>176</v>
      </c>
      <c r="F21" s="67">
        <v>2</v>
      </c>
      <c r="G21" s="67">
        <v>69</v>
      </c>
      <c r="H21" s="67">
        <v>4064</v>
      </c>
    </row>
    <row r="22" spans="1:11" s="62" customFormat="1" x14ac:dyDescent="0.25">
      <c r="A22" s="68" t="s">
        <v>53</v>
      </c>
      <c r="B22" s="67">
        <v>1301</v>
      </c>
      <c r="C22" s="67">
        <v>1297</v>
      </c>
      <c r="D22" s="67">
        <v>0</v>
      </c>
      <c r="E22" s="67">
        <v>26</v>
      </c>
      <c r="F22" s="67">
        <v>0</v>
      </c>
      <c r="G22" s="67">
        <v>59</v>
      </c>
      <c r="H22" s="67">
        <v>3700</v>
      </c>
    </row>
    <row r="23" spans="1:11" s="62" customFormat="1" x14ac:dyDescent="0.25">
      <c r="A23" s="68" t="s">
        <v>54</v>
      </c>
      <c r="B23" s="67">
        <v>187</v>
      </c>
      <c r="C23" s="67">
        <v>210</v>
      </c>
      <c r="D23" s="67">
        <v>0</v>
      </c>
      <c r="E23" s="67">
        <v>0</v>
      </c>
      <c r="F23" s="67">
        <v>0</v>
      </c>
      <c r="G23" s="67">
        <v>11</v>
      </c>
      <c r="H23" s="67">
        <v>342</v>
      </c>
    </row>
    <row r="24" spans="1:11" s="62" customFormat="1" x14ac:dyDescent="0.25">
      <c r="A24" s="68" t="s">
        <v>55</v>
      </c>
      <c r="B24" s="67">
        <v>906</v>
      </c>
      <c r="C24" s="67">
        <v>872</v>
      </c>
      <c r="D24" s="67">
        <v>0</v>
      </c>
      <c r="E24" s="67">
        <v>18</v>
      </c>
      <c r="F24" s="67">
        <v>0</v>
      </c>
      <c r="G24" s="67">
        <v>54</v>
      </c>
      <c r="H24" s="67">
        <v>2217</v>
      </c>
    </row>
    <row r="25" spans="1:11" s="62" customFormat="1" x14ac:dyDescent="0.25">
      <c r="A25" s="68" t="s">
        <v>56</v>
      </c>
      <c r="B25" s="67">
        <v>893</v>
      </c>
      <c r="C25" s="67">
        <v>867</v>
      </c>
      <c r="D25" s="67">
        <v>0</v>
      </c>
      <c r="E25" s="67">
        <v>19</v>
      </c>
      <c r="F25" s="67">
        <v>0</v>
      </c>
      <c r="G25" s="67">
        <v>40</v>
      </c>
      <c r="H25" s="67">
        <v>1799</v>
      </c>
    </row>
    <row r="26" spans="1:11" s="62" customFormat="1" x14ac:dyDescent="0.25">
      <c r="A26" s="68" t="s">
        <v>57</v>
      </c>
      <c r="B26" s="67">
        <v>1166</v>
      </c>
      <c r="C26" s="67">
        <v>1106</v>
      </c>
      <c r="D26" s="67">
        <v>0</v>
      </c>
      <c r="E26" s="67">
        <v>76</v>
      </c>
      <c r="F26" s="67">
        <v>0</v>
      </c>
      <c r="G26" s="67">
        <v>705</v>
      </c>
      <c r="H26" s="67">
        <v>963</v>
      </c>
    </row>
    <row r="27" spans="1:11" s="62" customFormat="1" x14ac:dyDescent="0.25">
      <c r="A27" s="68" t="s">
        <v>58</v>
      </c>
      <c r="B27" s="67">
        <v>1149</v>
      </c>
      <c r="C27" s="67">
        <v>1257</v>
      </c>
      <c r="D27" s="67">
        <v>0</v>
      </c>
      <c r="E27" s="67">
        <v>25</v>
      </c>
      <c r="F27" s="67">
        <v>0</v>
      </c>
      <c r="G27" s="67">
        <v>50</v>
      </c>
      <c r="H27" s="67">
        <v>2477</v>
      </c>
    </row>
    <row r="28" spans="1:11" s="62" customFormat="1" x14ac:dyDescent="0.25">
      <c r="A28" s="68" t="s">
        <v>59</v>
      </c>
      <c r="B28" s="67">
        <v>730</v>
      </c>
      <c r="C28" s="67">
        <v>718</v>
      </c>
      <c r="D28" s="67">
        <v>0</v>
      </c>
      <c r="E28" s="67">
        <v>5</v>
      </c>
      <c r="F28" s="67">
        <v>0</v>
      </c>
      <c r="G28" s="67">
        <v>34</v>
      </c>
      <c r="H28" s="67">
        <v>2090</v>
      </c>
    </row>
    <row r="29" spans="1:11" s="62" customFormat="1" x14ac:dyDescent="0.25">
      <c r="A29" s="68" t="s">
        <v>60</v>
      </c>
      <c r="B29" s="67">
        <v>1397</v>
      </c>
      <c r="C29" s="67">
        <v>1249</v>
      </c>
      <c r="D29" s="67">
        <v>0</v>
      </c>
      <c r="E29" s="67">
        <v>117</v>
      </c>
      <c r="F29" s="67">
        <v>0</v>
      </c>
      <c r="G29" s="67">
        <v>40</v>
      </c>
      <c r="H29" s="67">
        <v>2737</v>
      </c>
    </row>
    <row r="30" spans="1:11" s="62" customFormat="1" x14ac:dyDescent="0.25">
      <c r="A30" s="68" t="s">
        <v>61</v>
      </c>
      <c r="B30" s="67">
        <v>831</v>
      </c>
      <c r="C30" s="67">
        <v>655</v>
      </c>
      <c r="D30" s="67">
        <v>0</v>
      </c>
      <c r="E30" s="67">
        <v>115</v>
      </c>
      <c r="F30" s="67">
        <v>0</v>
      </c>
      <c r="G30" s="67">
        <v>67</v>
      </c>
      <c r="H30" s="67">
        <v>2041</v>
      </c>
    </row>
    <row r="31" spans="1:11" s="62" customFormat="1" x14ac:dyDescent="0.25">
      <c r="A31" s="68" t="s">
        <v>62</v>
      </c>
      <c r="B31" s="67">
        <v>1799</v>
      </c>
      <c r="C31" s="67">
        <v>2062</v>
      </c>
      <c r="D31" s="67">
        <v>1</v>
      </c>
      <c r="E31" s="67">
        <v>250</v>
      </c>
      <c r="F31" s="67">
        <v>1</v>
      </c>
      <c r="G31" s="67">
        <v>101</v>
      </c>
      <c r="H31" s="67">
        <v>3715</v>
      </c>
    </row>
    <row r="32" spans="1:11" s="62" customFormat="1" x14ac:dyDescent="0.25">
      <c r="A32" s="68" t="s">
        <v>63</v>
      </c>
      <c r="B32" s="67">
        <v>1135</v>
      </c>
      <c r="C32" s="67">
        <v>1440</v>
      </c>
      <c r="D32" s="67">
        <v>0</v>
      </c>
      <c r="E32" s="67">
        <v>47</v>
      </c>
      <c r="F32" s="67">
        <v>0</v>
      </c>
      <c r="G32" s="67">
        <v>41</v>
      </c>
      <c r="H32" s="67">
        <v>2048</v>
      </c>
    </row>
    <row r="33" spans="1:8" s="62" customFormat="1" x14ac:dyDescent="0.25">
      <c r="A33" s="68" t="s">
        <v>64</v>
      </c>
      <c r="B33" s="67">
        <v>1029</v>
      </c>
      <c r="C33" s="67">
        <v>785</v>
      </c>
      <c r="D33" s="67">
        <v>0</v>
      </c>
      <c r="E33" s="67">
        <v>67</v>
      </c>
      <c r="F33" s="67">
        <v>0</v>
      </c>
      <c r="G33" s="67">
        <v>775</v>
      </c>
      <c r="H33" s="67">
        <v>267</v>
      </c>
    </row>
    <row r="34" spans="1:8" s="62" customFormat="1" x14ac:dyDescent="0.25">
      <c r="A34" s="68" t="s">
        <v>65</v>
      </c>
      <c r="B34" s="67">
        <v>1191</v>
      </c>
      <c r="C34" s="67">
        <v>1312</v>
      </c>
      <c r="D34" s="67">
        <v>0</v>
      </c>
      <c r="E34" s="67">
        <v>83</v>
      </c>
      <c r="F34" s="67">
        <v>0</v>
      </c>
      <c r="G34" s="67">
        <v>50</v>
      </c>
      <c r="H34" s="67">
        <v>2387</v>
      </c>
    </row>
    <row r="35" spans="1:8" s="62" customFormat="1" x14ac:dyDescent="0.25">
      <c r="A35" s="68" t="s">
        <v>66</v>
      </c>
      <c r="B35" s="67">
        <v>711</v>
      </c>
      <c r="C35" s="67">
        <v>711</v>
      </c>
      <c r="D35" s="67">
        <v>1</v>
      </c>
      <c r="E35" s="67">
        <v>18</v>
      </c>
      <c r="F35" s="67">
        <v>1</v>
      </c>
      <c r="G35" s="67">
        <v>25</v>
      </c>
      <c r="H35" s="67">
        <v>1051</v>
      </c>
    </row>
    <row r="36" spans="1:8" s="62" customFormat="1" x14ac:dyDescent="0.25">
      <c r="A36" s="68" t="s">
        <v>67</v>
      </c>
      <c r="B36" s="67">
        <v>523</v>
      </c>
      <c r="C36" s="67">
        <v>483</v>
      </c>
      <c r="D36" s="67">
        <v>0</v>
      </c>
      <c r="E36" s="67">
        <v>28</v>
      </c>
      <c r="F36" s="67">
        <v>0</v>
      </c>
      <c r="G36" s="67">
        <v>40</v>
      </c>
      <c r="H36" s="67">
        <v>929</v>
      </c>
    </row>
    <row r="37" spans="1:8" s="62" customFormat="1" x14ac:dyDescent="0.25">
      <c r="A37" s="68" t="s">
        <v>68</v>
      </c>
      <c r="B37" s="67">
        <v>1062</v>
      </c>
      <c r="C37" s="67">
        <v>708</v>
      </c>
      <c r="D37" s="67">
        <v>0</v>
      </c>
      <c r="E37" s="67">
        <v>221</v>
      </c>
      <c r="F37" s="67">
        <v>0</v>
      </c>
      <c r="G37" s="67">
        <v>33</v>
      </c>
      <c r="H37" s="67">
        <v>1965</v>
      </c>
    </row>
    <row r="38" spans="1:8" s="62" customFormat="1" x14ac:dyDescent="0.25">
      <c r="A38" s="68" t="s">
        <v>69</v>
      </c>
      <c r="B38" s="67">
        <v>734</v>
      </c>
      <c r="C38" s="67">
        <v>564</v>
      </c>
      <c r="D38" s="67">
        <v>0</v>
      </c>
      <c r="E38" s="67">
        <v>54</v>
      </c>
      <c r="F38" s="67">
        <v>0</v>
      </c>
      <c r="G38" s="67">
        <v>423</v>
      </c>
      <c r="H38" s="67">
        <v>271</v>
      </c>
    </row>
    <row r="39" spans="1:8" s="62" customFormat="1" x14ac:dyDescent="0.25">
      <c r="A39" s="68" t="s">
        <v>70</v>
      </c>
      <c r="B39" s="67">
        <v>1076</v>
      </c>
      <c r="C39" s="67">
        <v>786</v>
      </c>
      <c r="D39" s="67">
        <v>0</v>
      </c>
      <c r="E39" s="67">
        <v>128</v>
      </c>
      <c r="F39" s="67">
        <v>0</v>
      </c>
      <c r="G39" s="67">
        <v>129</v>
      </c>
      <c r="H39" s="67">
        <v>2935</v>
      </c>
    </row>
    <row r="40" spans="1:8" s="62" customFormat="1" x14ac:dyDescent="0.25">
      <c r="A40" s="68" t="s">
        <v>71</v>
      </c>
      <c r="B40" s="67">
        <v>653</v>
      </c>
      <c r="C40" s="67">
        <v>672</v>
      </c>
      <c r="D40" s="67">
        <v>0</v>
      </c>
      <c r="E40" s="67">
        <v>27</v>
      </c>
      <c r="F40" s="67">
        <v>0</v>
      </c>
      <c r="G40" s="67">
        <v>44</v>
      </c>
      <c r="H40" s="67">
        <v>1529</v>
      </c>
    </row>
    <row r="41" spans="1:8" s="62" customFormat="1" x14ac:dyDescent="0.25">
      <c r="A41" s="68" t="s">
        <v>72</v>
      </c>
      <c r="B41" s="67">
        <v>595</v>
      </c>
      <c r="C41" s="67">
        <v>392</v>
      </c>
      <c r="D41" s="67">
        <v>0</v>
      </c>
      <c r="E41" s="67">
        <v>26</v>
      </c>
      <c r="F41" s="67">
        <v>0</v>
      </c>
      <c r="G41" s="67">
        <v>40</v>
      </c>
      <c r="H41" s="67">
        <v>1471</v>
      </c>
    </row>
    <row r="42" spans="1:8" s="62" customFormat="1" x14ac:dyDescent="0.25">
      <c r="A42" s="68" t="s">
        <v>73</v>
      </c>
      <c r="B42" s="67">
        <v>1987</v>
      </c>
      <c r="C42" s="67">
        <v>1699</v>
      </c>
      <c r="D42" s="67">
        <v>0</v>
      </c>
      <c r="E42" s="67">
        <v>107</v>
      </c>
      <c r="F42" s="67">
        <v>0</v>
      </c>
      <c r="G42" s="67">
        <v>113</v>
      </c>
      <c r="H42" s="67">
        <v>4446</v>
      </c>
    </row>
    <row r="43" spans="1:8" s="62" customFormat="1" x14ac:dyDescent="0.25">
      <c r="A43" s="68" t="s">
        <v>74</v>
      </c>
      <c r="B43" s="67">
        <v>587</v>
      </c>
      <c r="C43" s="67">
        <v>565</v>
      </c>
      <c r="D43" s="67">
        <v>0</v>
      </c>
      <c r="E43" s="67">
        <v>18</v>
      </c>
      <c r="F43" s="67">
        <v>0</v>
      </c>
      <c r="G43" s="67">
        <v>32</v>
      </c>
      <c r="H43" s="67">
        <v>1070</v>
      </c>
    </row>
    <row r="44" spans="1:8" s="62" customFormat="1" x14ac:dyDescent="0.25">
      <c r="A44" s="68" t="s">
        <v>75</v>
      </c>
      <c r="B44" s="67">
        <v>1542</v>
      </c>
      <c r="C44" s="67">
        <v>1640</v>
      </c>
      <c r="D44" s="67">
        <v>0</v>
      </c>
      <c r="E44" s="67">
        <v>62</v>
      </c>
      <c r="F44" s="67">
        <v>0</v>
      </c>
      <c r="G44" s="67">
        <v>73</v>
      </c>
      <c r="H44" s="67">
        <v>3751</v>
      </c>
    </row>
    <row r="45" spans="1:8" s="62" customFormat="1" x14ac:dyDescent="0.25">
      <c r="A45" s="68" t="s">
        <v>76</v>
      </c>
      <c r="B45" s="67">
        <v>1018</v>
      </c>
      <c r="C45" s="67">
        <v>969</v>
      </c>
      <c r="D45" s="67">
        <v>0</v>
      </c>
      <c r="E45" s="67">
        <v>8</v>
      </c>
      <c r="F45" s="67">
        <v>0</v>
      </c>
      <c r="G45" s="67">
        <v>50</v>
      </c>
      <c r="H45" s="67">
        <v>2253</v>
      </c>
    </row>
    <row r="46" spans="1:8" s="62" customFormat="1" x14ac:dyDescent="0.25">
      <c r="A46" s="68" t="s">
        <v>77</v>
      </c>
      <c r="B46" s="67">
        <v>1158</v>
      </c>
      <c r="C46" s="67">
        <v>1042</v>
      </c>
      <c r="D46" s="67">
        <v>0</v>
      </c>
      <c r="E46" s="67">
        <v>22</v>
      </c>
      <c r="F46" s="67">
        <v>0</v>
      </c>
      <c r="G46" s="67">
        <v>44</v>
      </c>
      <c r="H46" s="67">
        <v>2887</v>
      </c>
    </row>
    <row r="47" spans="1:8" s="62" customFormat="1" x14ac:dyDescent="0.25">
      <c r="A47" s="68" t="s">
        <v>78</v>
      </c>
      <c r="B47" s="67">
        <v>1573</v>
      </c>
      <c r="C47" s="67">
        <v>1539</v>
      </c>
      <c r="D47" s="67">
        <v>0</v>
      </c>
      <c r="E47" s="67">
        <v>72</v>
      </c>
      <c r="F47" s="67">
        <v>0</v>
      </c>
      <c r="G47" s="67">
        <v>97</v>
      </c>
      <c r="H47" s="67">
        <v>3952</v>
      </c>
    </row>
    <row r="48" spans="1:8" s="62" customFormat="1" x14ac:dyDescent="0.25">
      <c r="A48" s="68" t="s">
        <v>79</v>
      </c>
      <c r="B48" s="67">
        <v>24</v>
      </c>
      <c r="C48" s="67">
        <v>14</v>
      </c>
      <c r="D48" s="67">
        <v>0</v>
      </c>
      <c r="E48" s="67">
        <v>2</v>
      </c>
      <c r="F48" s="67">
        <v>0</v>
      </c>
      <c r="G48" s="67">
        <v>3</v>
      </c>
      <c r="H48" s="67">
        <v>64</v>
      </c>
    </row>
    <row r="49" spans="1:8" s="62" customFormat="1" x14ac:dyDescent="0.25">
      <c r="A49" s="68" t="s">
        <v>80</v>
      </c>
      <c r="B49" s="67">
        <v>539</v>
      </c>
      <c r="C49" s="67">
        <v>357</v>
      </c>
      <c r="D49" s="67">
        <v>0</v>
      </c>
      <c r="E49" s="67">
        <v>11</v>
      </c>
      <c r="F49" s="67">
        <v>0</v>
      </c>
      <c r="G49" s="67">
        <v>42</v>
      </c>
      <c r="H49" s="67">
        <v>929</v>
      </c>
    </row>
    <row r="50" spans="1:8" s="62" customFormat="1" x14ac:dyDescent="0.25">
      <c r="A50" s="68" t="s">
        <v>81</v>
      </c>
      <c r="B50" s="67">
        <v>1084</v>
      </c>
      <c r="C50" s="67">
        <v>988</v>
      </c>
      <c r="D50" s="67">
        <v>0</v>
      </c>
      <c r="E50" s="67">
        <v>99</v>
      </c>
      <c r="F50" s="67">
        <v>0</v>
      </c>
      <c r="G50" s="67">
        <v>78</v>
      </c>
      <c r="H50" s="67">
        <v>3002</v>
      </c>
    </row>
    <row r="51" spans="1:8" s="62" customFormat="1" x14ac:dyDescent="0.25">
      <c r="A51" s="68" t="s">
        <v>82</v>
      </c>
      <c r="B51" s="67">
        <v>561</v>
      </c>
      <c r="C51" s="67">
        <v>303</v>
      </c>
      <c r="D51" s="67">
        <v>0</v>
      </c>
      <c r="E51" s="67">
        <v>32</v>
      </c>
      <c r="F51" s="67">
        <v>0</v>
      </c>
      <c r="G51" s="67">
        <v>9</v>
      </c>
      <c r="H51" s="67">
        <v>688</v>
      </c>
    </row>
    <row r="52" spans="1:8" s="62" customFormat="1" x14ac:dyDescent="0.25">
      <c r="A52" s="68" t="s">
        <v>83</v>
      </c>
      <c r="B52" s="67">
        <v>629</v>
      </c>
      <c r="C52" s="67">
        <v>603</v>
      </c>
      <c r="D52" s="67">
        <v>0</v>
      </c>
      <c r="E52" s="67">
        <v>25</v>
      </c>
      <c r="F52" s="67">
        <v>0</v>
      </c>
      <c r="G52" s="67">
        <v>27</v>
      </c>
      <c r="H52" s="67">
        <v>1011</v>
      </c>
    </row>
    <row r="53" spans="1:8" s="62" customFormat="1" x14ac:dyDescent="0.25">
      <c r="A53" s="68" t="s">
        <v>84</v>
      </c>
      <c r="B53" s="67">
        <v>2049</v>
      </c>
      <c r="C53" s="67">
        <v>2596</v>
      </c>
      <c r="D53" s="67">
        <v>0</v>
      </c>
      <c r="E53" s="67">
        <v>27</v>
      </c>
      <c r="F53" s="67">
        <v>0</v>
      </c>
      <c r="G53" s="67">
        <v>124</v>
      </c>
      <c r="H53" s="67">
        <v>4240</v>
      </c>
    </row>
    <row r="54" spans="1:8" s="62" customFormat="1" x14ac:dyDescent="0.25">
      <c r="A54" s="68" t="s">
        <v>85</v>
      </c>
      <c r="B54" s="67">
        <v>83</v>
      </c>
      <c r="C54" s="67">
        <v>83</v>
      </c>
      <c r="D54" s="67">
        <v>0</v>
      </c>
      <c r="E54" s="67">
        <v>16</v>
      </c>
      <c r="F54" s="67">
        <v>0</v>
      </c>
      <c r="G54" s="67">
        <v>4</v>
      </c>
      <c r="H54" s="67">
        <v>218</v>
      </c>
    </row>
    <row r="55" spans="1:8" s="62" customFormat="1" x14ac:dyDescent="0.25">
      <c r="A55" s="68" t="s">
        <v>86</v>
      </c>
      <c r="B55" s="67">
        <v>2654</v>
      </c>
      <c r="C55" s="67">
        <v>2159</v>
      </c>
      <c r="D55" s="67">
        <v>2</v>
      </c>
      <c r="E55" s="67">
        <v>370</v>
      </c>
      <c r="F55" s="67">
        <v>0</v>
      </c>
      <c r="G55" s="67">
        <v>133</v>
      </c>
      <c r="H55" s="67">
        <v>7365</v>
      </c>
    </row>
    <row r="56" spans="1:8" s="62" customFormat="1" x14ac:dyDescent="0.25">
      <c r="A56" s="68" t="s">
        <v>87</v>
      </c>
      <c r="B56" s="67">
        <v>77</v>
      </c>
      <c r="C56" s="67">
        <v>1</v>
      </c>
      <c r="D56" s="67">
        <v>0</v>
      </c>
      <c r="E56" s="67">
        <v>33</v>
      </c>
      <c r="F56" s="67">
        <v>0</v>
      </c>
      <c r="G56" s="67">
        <v>4</v>
      </c>
      <c r="H56" s="67">
        <v>23</v>
      </c>
    </row>
    <row r="57" spans="1:8" s="62" customFormat="1" x14ac:dyDescent="0.25">
      <c r="A57" s="68" t="s">
        <v>88</v>
      </c>
      <c r="B57" s="67">
        <v>489</v>
      </c>
      <c r="C57" s="67">
        <v>355</v>
      </c>
      <c r="D57" s="67">
        <v>0</v>
      </c>
      <c r="E57" s="67">
        <v>93</v>
      </c>
      <c r="F57" s="67">
        <v>1</v>
      </c>
      <c r="G57" s="67">
        <v>16</v>
      </c>
      <c r="H57" s="67">
        <v>1196</v>
      </c>
    </row>
    <row r="58" spans="1:8" s="62" customFormat="1" x14ac:dyDescent="0.25">
      <c r="A58" s="68" t="s">
        <v>89</v>
      </c>
      <c r="B58" s="67">
        <v>537</v>
      </c>
      <c r="C58" s="67">
        <v>365</v>
      </c>
      <c r="D58" s="67">
        <v>0</v>
      </c>
      <c r="E58" s="67">
        <v>13</v>
      </c>
      <c r="F58" s="67">
        <v>0</v>
      </c>
      <c r="G58" s="67">
        <v>30</v>
      </c>
      <c r="H58" s="67">
        <v>572</v>
      </c>
    </row>
    <row r="59" spans="1:8" s="62" customFormat="1" x14ac:dyDescent="0.25">
      <c r="A59" s="68" t="s">
        <v>90</v>
      </c>
      <c r="B59" s="67">
        <v>6</v>
      </c>
      <c r="C59" s="67">
        <v>6</v>
      </c>
      <c r="D59" s="67">
        <v>0</v>
      </c>
      <c r="E59" s="67">
        <v>0</v>
      </c>
      <c r="F59" s="67">
        <v>0</v>
      </c>
      <c r="G59" s="67">
        <v>6</v>
      </c>
      <c r="H59" s="67">
        <v>13</v>
      </c>
    </row>
    <row r="60" spans="1:8" s="62" customFormat="1" x14ac:dyDescent="0.25">
      <c r="A60" s="68" t="s">
        <v>91</v>
      </c>
      <c r="B60" s="67">
        <v>1760</v>
      </c>
      <c r="C60" s="67">
        <v>1529</v>
      </c>
      <c r="D60" s="67">
        <v>0</v>
      </c>
      <c r="E60" s="67">
        <v>146</v>
      </c>
      <c r="F60" s="67">
        <v>0</v>
      </c>
      <c r="G60" s="67">
        <v>66</v>
      </c>
      <c r="H60" s="67">
        <v>4012</v>
      </c>
    </row>
    <row r="61" spans="1:8" s="62" customFormat="1" x14ac:dyDescent="0.25">
      <c r="A61" s="68" t="s">
        <v>92</v>
      </c>
      <c r="B61" s="67">
        <v>1522</v>
      </c>
      <c r="C61" s="67">
        <v>1328</v>
      </c>
      <c r="D61" s="67">
        <v>0</v>
      </c>
      <c r="E61" s="67">
        <v>61</v>
      </c>
      <c r="F61" s="67">
        <v>2</v>
      </c>
      <c r="G61" s="67">
        <v>116</v>
      </c>
      <c r="H61" s="67">
        <v>4168</v>
      </c>
    </row>
    <row r="62" spans="1:8" s="62" customFormat="1" x14ac:dyDescent="0.25">
      <c r="A62" s="68" t="s">
        <v>93</v>
      </c>
      <c r="B62" s="67">
        <v>528</v>
      </c>
      <c r="C62" s="67">
        <v>473</v>
      </c>
      <c r="D62" s="67">
        <v>0</v>
      </c>
      <c r="E62" s="67">
        <v>54</v>
      </c>
      <c r="F62" s="67">
        <v>0</v>
      </c>
      <c r="G62" s="67">
        <v>26</v>
      </c>
      <c r="H62" s="67">
        <v>907</v>
      </c>
    </row>
    <row r="63" spans="1:8" s="62" customFormat="1" x14ac:dyDescent="0.25">
      <c r="A63" s="68" t="s">
        <v>94</v>
      </c>
      <c r="B63" s="67">
        <v>935</v>
      </c>
      <c r="C63" s="67">
        <v>780</v>
      </c>
      <c r="D63" s="67">
        <v>0</v>
      </c>
      <c r="E63" s="67">
        <v>68</v>
      </c>
      <c r="F63" s="67">
        <v>0</v>
      </c>
      <c r="G63" s="67">
        <v>52</v>
      </c>
      <c r="H63" s="67">
        <v>2077</v>
      </c>
    </row>
    <row r="64" spans="1:8" s="62" customFormat="1" x14ac:dyDescent="0.25">
      <c r="A64" s="68" t="s">
        <v>95</v>
      </c>
      <c r="B64" s="67">
        <v>527</v>
      </c>
      <c r="C64" s="67">
        <v>514</v>
      </c>
      <c r="D64" s="67">
        <v>1</v>
      </c>
      <c r="E64" s="67">
        <v>1</v>
      </c>
      <c r="F64" s="67">
        <v>0</v>
      </c>
      <c r="G64" s="67">
        <v>53</v>
      </c>
      <c r="H64" s="67">
        <v>914</v>
      </c>
    </row>
    <row r="65" spans="1:9" s="62" customFormat="1" ht="19.5" thickBot="1" x14ac:dyDescent="0.3">
      <c r="A65" s="46" t="s">
        <v>114</v>
      </c>
      <c r="B65" s="70">
        <v>61158</v>
      </c>
      <c r="C65" s="70">
        <v>55555</v>
      </c>
      <c r="D65" s="70">
        <v>48</v>
      </c>
      <c r="E65" s="70">
        <v>4375</v>
      </c>
      <c r="F65" s="70">
        <v>13</v>
      </c>
      <c r="G65" s="70">
        <v>5266</v>
      </c>
      <c r="H65" s="79">
        <v>136185</v>
      </c>
    </row>
    <row r="66" spans="1:9" s="62" customFormat="1" x14ac:dyDescent="0.25">
      <c r="A66" s="72"/>
    </row>
    <row r="67" spans="1:9" s="62" customFormat="1" x14ac:dyDescent="0.25">
      <c r="A67" s="72" t="s">
        <v>98</v>
      </c>
    </row>
    <row r="68" spans="1:9" s="62" customFormat="1" x14ac:dyDescent="0.25">
      <c r="A68" s="73" t="s">
        <v>125</v>
      </c>
    </row>
    <row r="69" spans="1:9" s="62" customFormat="1" x14ac:dyDescent="0.25">
      <c r="A69" s="150"/>
      <c r="B69" s="150"/>
      <c r="C69" s="150"/>
      <c r="D69" s="150"/>
      <c r="E69" s="150"/>
      <c r="F69" s="150"/>
      <c r="G69" s="150"/>
      <c r="H69" s="150"/>
      <c r="I69" s="74"/>
    </row>
    <row r="70" spans="1:9" s="62" customFormat="1" x14ac:dyDescent="0.25">
      <c r="A70" s="22"/>
    </row>
    <row r="71" spans="1:9" s="62" customFormat="1" x14ac:dyDescent="0.25">
      <c r="A71" s="72" t="s">
        <v>117</v>
      </c>
    </row>
    <row r="72" spans="1:9" s="62" customFormat="1" ht="29.25" customHeight="1" x14ac:dyDescent="0.25">
      <c r="A72" s="145" t="s">
        <v>118</v>
      </c>
      <c r="B72" s="145"/>
      <c r="C72" s="145"/>
      <c r="D72" s="145"/>
      <c r="E72" s="145"/>
      <c r="F72" s="145"/>
      <c r="G72" s="145"/>
      <c r="H72" s="145"/>
    </row>
    <row r="73" spans="1:9" s="62" customFormat="1" ht="26.25" customHeight="1" x14ac:dyDescent="0.25">
      <c r="A73" s="145" t="s">
        <v>126</v>
      </c>
      <c r="B73" s="145"/>
      <c r="C73" s="145"/>
      <c r="D73" s="145"/>
      <c r="E73" s="145"/>
      <c r="F73" s="145"/>
      <c r="G73" s="145"/>
      <c r="H73" s="145"/>
    </row>
    <row r="74" spans="1:9" s="62" customFormat="1" ht="27.75" customHeight="1" x14ac:dyDescent="0.25">
      <c r="A74" s="145" t="s">
        <v>127</v>
      </c>
      <c r="B74" s="145"/>
      <c r="C74" s="145"/>
      <c r="D74" s="145"/>
      <c r="E74" s="145"/>
      <c r="F74" s="145"/>
      <c r="G74" s="145"/>
      <c r="H74" s="145"/>
    </row>
    <row r="75" spans="1:9" s="62" customFormat="1" ht="41.25" customHeight="1" x14ac:dyDescent="0.25">
      <c r="A75" s="145" t="s">
        <v>128</v>
      </c>
      <c r="B75" s="145"/>
      <c r="C75" s="145"/>
      <c r="D75" s="145"/>
      <c r="E75" s="145"/>
      <c r="F75" s="145"/>
      <c r="G75" s="145"/>
      <c r="H75" s="145"/>
    </row>
    <row r="76" spans="1:9" s="62" customFormat="1" x14ac:dyDescent="0.25">
      <c r="A76" s="22" t="s">
        <v>122</v>
      </c>
    </row>
    <row r="77" spans="1:9" s="62" customFormat="1" x14ac:dyDescent="0.25">
      <c r="A77" s="22" t="s">
        <v>123</v>
      </c>
    </row>
  </sheetData>
  <mergeCells count="8">
    <mergeCell ref="A73:H73"/>
    <mergeCell ref="A74:H74"/>
    <mergeCell ref="A75:H75"/>
    <mergeCell ref="B3:B4"/>
    <mergeCell ref="C3:E4"/>
    <mergeCell ref="F3:H4"/>
    <mergeCell ref="A69:H69"/>
    <mergeCell ref="A72:H72"/>
  </mergeCells>
  <pageMargins left="0.7" right="0.7" top="0.75" bottom="0.75" header="0.3" footer="0.3"/>
  <pageSetup orientation="portrait"/>
  <headerFooter>
    <oddHeader>&amp;C&amp;"Calibri"&amp;10&amp;K000000 Internal Use Only&amp;1#_x000D_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3"/>
  <sheetViews>
    <sheetView workbookViewId="0"/>
  </sheetViews>
  <sheetFormatPr defaultColWidth="9.140625" defaultRowHeight="12.75" x14ac:dyDescent="0.2"/>
  <cols>
    <col min="1" max="1" width="9.7109375" style="81" customWidth="1"/>
    <col min="2" max="2" width="9.5703125" style="81" bestFit="1" customWidth="1"/>
    <col min="3" max="3" width="14.140625" style="81" hidden="1" customWidth="1"/>
    <col min="4" max="4" width="16" style="81" bestFit="1" customWidth="1"/>
    <col min="5" max="5" width="14" style="81" customWidth="1"/>
    <col min="6" max="6" width="20" style="81" customWidth="1"/>
    <col min="7" max="10" width="9.140625" style="81"/>
    <col min="11" max="11" width="17.5703125" style="81" customWidth="1"/>
    <col min="12" max="12" width="16.42578125" style="81" bestFit="1" customWidth="1"/>
    <col min="13" max="16384" width="9.140625" style="81"/>
  </cols>
  <sheetData>
    <row r="1" spans="1:15" ht="18" x14ac:dyDescent="0.25">
      <c r="A1" s="8" t="s">
        <v>129</v>
      </c>
      <c r="L1" s="83"/>
    </row>
    <row r="2" spans="1:15" ht="15" x14ac:dyDescent="0.25">
      <c r="L2" s="84"/>
    </row>
    <row r="3" spans="1:15" x14ac:dyDescent="0.2">
      <c r="A3" s="88" t="s">
        <v>130</v>
      </c>
      <c r="B3" s="88" t="s">
        <v>131</v>
      </c>
      <c r="C3" s="88" t="s">
        <v>132</v>
      </c>
      <c r="D3" s="88" t="s">
        <v>133</v>
      </c>
      <c r="E3" s="88" t="s">
        <v>134</v>
      </c>
      <c r="F3" s="88" t="s">
        <v>135</v>
      </c>
    </row>
    <row r="4" spans="1:15" ht="15" x14ac:dyDescent="0.25">
      <c r="A4" s="87" t="s">
        <v>200</v>
      </c>
      <c r="B4" s="87" t="s">
        <v>201</v>
      </c>
      <c r="C4" s="87" t="s">
        <v>136</v>
      </c>
      <c r="D4" s="87">
        <v>219373193417</v>
      </c>
      <c r="E4" s="87">
        <v>563437539008</v>
      </c>
      <c r="F4" s="87">
        <v>18406907072</v>
      </c>
      <c r="H4"/>
      <c r="I4"/>
      <c r="J4"/>
      <c r="K4"/>
      <c r="L4"/>
      <c r="M4"/>
      <c r="N4"/>
      <c r="O4"/>
    </row>
    <row r="5" spans="1:15" ht="15" x14ac:dyDescent="0.25">
      <c r="A5" s="87" t="s">
        <v>200</v>
      </c>
      <c r="B5" s="87" t="s">
        <v>202</v>
      </c>
      <c r="C5" s="87" t="s">
        <v>137</v>
      </c>
      <c r="D5" s="87">
        <v>314601426960</v>
      </c>
      <c r="E5" s="87">
        <v>411286136949</v>
      </c>
      <c r="F5" s="87">
        <v>17517458279</v>
      </c>
      <c r="H5"/>
      <c r="I5"/>
      <c r="J5"/>
      <c r="K5"/>
      <c r="L5"/>
      <c r="M5"/>
      <c r="N5"/>
      <c r="O5"/>
    </row>
    <row r="6" spans="1:15" ht="15" x14ac:dyDescent="0.25">
      <c r="A6" s="87" t="s">
        <v>200</v>
      </c>
      <c r="B6" s="87" t="s">
        <v>203</v>
      </c>
      <c r="C6" s="87" t="s">
        <v>138</v>
      </c>
      <c r="D6" s="87">
        <v>316072147908</v>
      </c>
      <c r="E6" s="87">
        <v>361986896762</v>
      </c>
      <c r="F6" s="87">
        <v>21478380391</v>
      </c>
      <c r="H6"/>
      <c r="I6"/>
      <c r="J6"/>
      <c r="K6"/>
      <c r="L6"/>
      <c r="M6"/>
      <c r="N6"/>
      <c r="O6"/>
    </row>
    <row r="7" spans="1:15" ht="15" x14ac:dyDescent="0.25">
      <c r="A7" s="87" t="s">
        <v>200</v>
      </c>
      <c r="B7" s="87" t="s">
        <v>204</v>
      </c>
      <c r="C7" s="87" t="s">
        <v>139</v>
      </c>
      <c r="D7" s="87">
        <v>297591856977</v>
      </c>
      <c r="E7" s="87">
        <v>305425162536</v>
      </c>
      <c r="F7" s="87">
        <v>23246609398</v>
      </c>
      <c r="H7"/>
      <c r="I7"/>
      <c r="J7"/>
      <c r="K7"/>
      <c r="L7"/>
      <c r="M7"/>
      <c r="N7"/>
      <c r="O7"/>
    </row>
    <row r="8" spans="1:15" ht="15" x14ac:dyDescent="0.25">
      <c r="A8" s="87" t="s">
        <v>205</v>
      </c>
      <c r="B8" s="87" t="s">
        <v>201</v>
      </c>
      <c r="C8" s="87" t="s">
        <v>140</v>
      </c>
      <c r="D8" s="87">
        <v>238982072166</v>
      </c>
      <c r="E8" s="87">
        <v>202969088691</v>
      </c>
      <c r="F8" s="87">
        <v>15859884616</v>
      </c>
      <c r="H8"/>
      <c r="I8"/>
      <c r="J8"/>
      <c r="K8"/>
      <c r="L8"/>
      <c r="M8"/>
      <c r="N8"/>
      <c r="O8"/>
    </row>
    <row r="9" spans="1:15" ht="15" x14ac:dyDescent="0.25">
      <c r="A9" s="87" t="s">
        <v>205</v>
      </c>
      <c r="B9" s="87" t="s">
        <v>202</v>
      </c>
      <c r="C9" s="87" t="s">
        <v>141</v>
      </c>
      <c r="D9" s="87">
        <v>287118683822</v>
      </c>
      <c r="E9" s="87">
        <v>103929411317</v>
      </c>
      <c r="F9" s="87">
        <v>8701137353</v>
      </c>
      <c r="H9"/>
      <c r="I9"/>
      <c r="J9"/>
      <c r="K9"/>
      <c r="L9"/>
      <c r="M9"/>
      <c r="N9"/>
      <c r="O9"/>
    </row>
    <row r="10" spans="1:15" ht="15" x14ac:dyDescent="0.25">
      <c r="A10" s="87" t="s">
        <v>205</v>
      </c>
      <c r="B10" s="87" t="s">
        <v>203</v>
      </c>
      <c r="C10" s="87" t="s">
        <v>142</v>
      </c>
      <c r="D10" s="87">
        <v>245947072001</v>
      </c>
      <c r="E10" s="87">
        <v>65135010453</v>
      </c>
      <c r="F10" s="87">
        <v>5355093804</v>
      </c>
      <c r="H10"/>
      <c r="I10"/>
      <c r="J10"/>
      <c r="K10"/>
      <c r="L10"/>
      <c r="M10"/>
      <c r="N10"/>
      <c r="O10"/>
    </row>
    <row r="11" spans="1:15" ht="15" x14ac:dyDescent="0.25">
      <c r="A11" s="87" t="s">
        <v>205</v>
      </c>
      <c r="B11" s="87" t="s">
        <v>204</v>
      </c>
      <c r="C11" s="87" t="s">
        <v>143</v>
      </c>
      <c r="D11" s="87">
        <v>178586652287</v>
      </c>
      <c r="E11" s="87">
        <v>34579557665</v>
      </c>
      <c r="F11" s="87">
        <v>2869607917</v>
      </c>
      <c r="H11"/>
      <c r="I11"/>
      <c r="J11"/>
      <c r="K11"/>
      <c r="L11"/>
      <c r="M11"/>
      <c r="N11"/>
      <c r="O11"/>
    </row>
    <row r="12" spans="1:15" ht="15" x14ac:dyDescent="0.25">
      <c r="A12" s="87" t="s">
        <v>206</v>
      </c>
      <c r="B12" s="87" t="s">
        <v>201</v>
      </c>
      <c r="C12" s="87" t="s">
        <v>144</v>
      </c>
      <c r="D12" s="87">
        <v>172619881784</v>
      </c>
      <c r="E12" s="87">
        <v>29756524062</v>
      </c>
      <c r="F12" s="87">
        <v>2528229390</v>
      </c>
      <c r="H12"/>
      <c r="I12"/>
      <c r="J12"/>
      <c r="K12"/>
      <c r="L12"/>
      <c r="M12"/>
      <c r="N12"/>
      <c r="O12"/>
    </row>
    <row r="13" spans="1:15" ht="15" x14ac:dyDescent="0.25">
      <c r="A13" s="87" t="s">
        <v>206</v>
      </c>
      <c r="B13" s="87" t="s">
        <v>202</v>
      </c>
      <c r="C13" s="87" t="s">
        <v>145</v>
      </c>
      <c r="D13" s="87">
        <v>215129508641</v>
      </c>
      <c r="E13" s="87">
        <v>34358116852</v>
      </c>
      <c r="F13" s="87">
        <v>3088014831</v>
      </c>
      <c r="H13"/>
      <c r="I13"/>
      <c r="J13"/>
      <c r="K13"/>
      <c r="L13"/>
      <c r="M13"/>
      <c r="N13"/>
      <c r="O13"/>
    </row>
    <row r="14" spans="1:15" ht="15" x14ac:dyDescent="0.25">
      <c r="A14" s="87" t="s">
        <v>206</v>
      </c>
      <c r="B14" s="87" t="s">
        <v>203</v>
      </c>
      <c r="C14" s="87" t="s">
        <v>146</v>
      </c>
      <c r="D14" s="87">
        <v>202782940000</v>
      </c>
      <c r="E14" s="87">
        <v>34203333984</v>
      </c>
      <c r="F14" s="87">
        <v>3259870870</v>
      </c>
      <c r="H14"/>
      <c r="I14"/>
      <c r="J14"/>
      <c r="K14"/>
      <c r="L14"/>
      <c r="M14"/>
      <c r="N14"/>
      <c r="O14"/>
    </row>
    <row r="15" spans="1:15" ht="15" x14ac:dyDescent="0.25">
      <c r="A15" s="87" t="s">
        <v>206</v>
      </c>
      <c r="B15" s="87" t="s">
        <v>204</v>
      </c>
      <c r="C15" s="87" t="s">
        <v>147</v>
      </c>
      <c r="D15" s="87">
        <v>171271182864</v>
      </c>
      <c r="E15" s="87">
        <v>29631641463</v>
      </c>
      <c r="F15" s="87">
        <v>2527358372</v>
      </c>
      <c r="H15"/>
      <c r="I15"/>
      <c r="J15"/>
      <c r="K15"/>
      <c r="L15"/>
      <c r="M15"/>
      <c r="N15"/>
      <c r="O15"/>
    </row>
    <row r="16" spans="1:15" ht="15" x14ac:dyDescent="0.25">
      <c r="A16" s="87" t="s">
        <v>207</v>
      </c>
      <c r="B16" s="87" t="s">
        <v>201</v>
      </c>
      <c r="C16" s="87" t="s">
        <v>148</v>
      </c>
      <c r="D16" s="87">
        <v>163063857219</v>
      </c>
      <c r="E16" s="87">
        <v>41213958692</v>
      </c>
      <c r="F16" s="87">
        <v>2638062060</v>
      </c>
      <c r="H16"/>
      <c r="I16"/>
      <c r="J16"/>
      <c r="K16"/>
      <c r="L16"/>
      <c r="M16"/>
      <c r="N16"/>
      <c r="O16"/>
    </row>
    <row r="17" spans="1:15" ht="15" x14ac:dyDescent="0.25">
      <c r="A17" s="87" t="s">
        <v>207</v>
      </c>
      <c r="B17" s="87" t="s">
        <v>202</v>
      </c>
      <c r="C17" s="87" t="s">
        <v>149</v>
      </c>
      <c r="D17" s="87">
        <v>224555335007</v>
      </c>
      <c r="E17" s="87">
        <v>43588534080</v>
      </c>
      <c r="F17" s="87">
        <v>3005236780</v>
      </c>
      <c r="H17"/>
      <c r="I17"/>
      <c r="J17"/>
      <c r="K17"/>
      <c r="L17"/>
      <c r="M17"/>
      <c r="N17"/>
      <c r="O17"/>
    </row>
    <row r="18" spans="1:15" ht="15" x14ac:dyDescent="0.25">
      <c r="A18" s="87" t="s">
        <v>207</v>
      </c>
      <c r="B18" s="87" t="s">
        <v>203</v>
      </c>
      <c r="C18" s="87" t="s">
        <v>150</v>
      </c>
      <c r="D18" s="87">
        <v>219327697165</v>
      </c>
      <c r="E18" s="87">
        <v>69550819485</v>
      </c>
      <c r="F18" s="87">
        <v>3557116719</v>
      </c>
      <c r="H18"/>
      <c r="I18"/>
      <c r="J18"/>
      <c r="K18"/>
      <c r="L18"/>
      <c r="M18"/>
      <c r="N18"/>
      <c r="O18"/>
    </row>
    <row r="19" spans="1:15" ht="15" x14ac:dyDescent="0.25">
      <c r="A19" s="87" t="s">
        <v>207</v>
      </c>
      <c r="B19" s="87" t="s">
        <v>204</v>
      </c>
      <c r="C19" s="87" t="s">
        <v>151</v>
      </c>
      <c r="D19" s="87">
        <v>208372466797</v>
      </c>
      <c r="E19" s="87">
        <v>91560105709</v>
      </c>
      <c r="F19" s="87">
        <v>3988367244</v>
      </c>
      <c r="H19"/>
      <c r="I19"/>
      <c r="J19"/>
      <c r="K19"/>
      <c r="L19"/>
      <c r="M19"/>
      <c r="N19"/>
      <c r="O19"/>
    </row>
    <row r="20" spans="1:15" ht="15" x14ac:dyDescent="0.25">
      <c r="A20" s="87" t="s">
        <v>208</v>
      </c>
      <c r="B20" s="87" t="s">
        <v>201</v>
      </c>
      <c r="C20" s="87" t="s">
        <v>152</v>
      </c>
      <c r="D20" s="87">
        <v>173190025477</v>
      </c>
      <c r="E20" s="87">
        <v>60654042091</v>
      </c>
      <c r="F20" s="87">
        <v>3627037704</v>
      </c>
      <c r="H20"/>
      <c r="I20"/>
      <c r="J20"/>
      <c r="K20"/>
      <c r="L20"/>
      <c r="M20"/>
      <c r="N20"/>
      <c r="O20"/>
    </row>
    <row r="21" spans="1:15" ht="15" x14ac:dyDescent="0.25">
      <c r="A21" s="87" t="s">
        <v>208</v>
      </c>
      <c r="B21" s="87" t="s">
        <v>202</v>
      </c>
      <c r="C21" s="87" t="s">
        <v>153</v>
      </c>
      <c r="D21" s="87">
        <v>243634725911</v>
      </c>
      <c r="E21" s="87">
        <v>76425810624</v>
      </c>
      <c r="F21" s="87">
        <v>4637931858</v>
      </c>
      <c r="H21"/>
      <c r="I21"/>
      <c r="J21"/>
      <c r="K21"/>
      <c r="L21"/>
      <c r="M21"/>
      <c r="N21"/>
      <c r="O21"/>
    </row>
    <row r="22" spans="1:15" ht="15" x14ac:dyDescent="0.25">
      <c r="A22" s="87" t="s">
        <v>208</v>
      </c>
      <c r="B22" s="87" t="s">
        <v>203</v>
      </c>
      <c r="C22" s="87" t="s">
        <v>154</v>
      </c>
      <c r="D22" s="87">
        <v>236070315906</v>
      </c>
      <c r="E22" s="87">
        <v>86094322504</v>
      </c>
      <c r="F22" s="87">
        <v>4776965483</v>
      </c>
      <c r="H22"/>
      <c r="I22"/>
      <c r="J22"/>
      <c r="K22"/>
      <c r="L22"/>
      <c r="M22"/>
      <c r="N22"/>
      <c r="O22"/>
    </row>
    <row r="23" spans="1:15" x14ac:dyDescent="0.2">
      <c r="A23" s="132" t="s">
        <v>208</v>
      </c>
      <c r="B23" s="132" t="s">
        <v>204</v>
      </c>
      <c r="C23" s="87" t="s">
        <v>192</v>
      </c>
      <c r="D23" s="87">
        <v>202508786577</v>
      </c>
      <c r="E23" s="87">
        <v>156188534135</v>
      </c>
      <c r="F23" s="87">
        <v>5018707581</v>
      </c>
    </row>
    <row r="24" spans="1:15" x14ac:dyDescent="0.2">
      <c r="A24" s="132" t="s">
        <v>209</v>
      </c>
      <c r="B24" s="132" t="s">
        <v>201</v>
      </c>
      <c r="C24" s="87" t="s">
        <v>193</v>
      </c>
      <c r="D24" s="87">
        <v>173659346196</v>
      </c>
      <c r="E24" s="87">
        <v>151334801891</v>
      </c>
      <c r="F24" s="87">
        <v>4847434264</v>
      </c>
    </row>
    <row r="25" spans="1:15" x14ac:dyDescent="0.2">
      <c r="C25" s="85"/>
      <c r="D25" s="86"/>
      <c r="E25" s="86"/>
      <c r="F25" s="86"/>
    </row>
    <row r="26" spans="1:15" x14ac:dyDescent="0.2">
      <c r="C26" s="85"/>
      <c r="D26" s="86"/>
      <c r="E26" s="86"/>
      <c r="F26" s="86"/>
    </row>
    <row r="27" spans="1:15" x14ac:dyDescent="0.2">
      <c r="C27" s="85"/>
      <c r="D27" s="86"/>
      <c r="E27" s="86"/>
      <c r="F27" s="86"/>
    </row>
    <row r="28" spans="1:15" x14ac:dyDescent="0.2">
      <c r="C28" s="85"/>
      <c r="D28" s="86"/>
      <c r="E28" s="86"/>
      <c r="F28" s="86"/>
    </row>
    <row r="29" spans="1:15" x14ac:dyDescent="0.2">
      <c r="C29" s="85"/>
      <c r="D29" s="86"/>
      <c r="E29" s="86"/>
      <c r="F29" s="86"/>
    </row>
    <row r="30" spans="1:15" x14ac:dyDescent="0.2">
      <c r="C30" s="85"/>
      <c r="D30" s="86"/>
      <c r="E30" s="86"/>
      <c r="F30" s="86"/>
    </row>
    <row r="31" spans="1:15" x14ac:dyDescent="0.2">
      <c r="C31" s="85"/>
      <c r="D31" s="86"/>
      <c r="E31" s="86"/>
      <c r="F31" s="86"/>
    </row>
    <row r="32" spans="1:15" x14ac:dyDescent="0.2">
      <c r="C32" s="85"/>
      <c r="D32" s="86"/>
      <c r="E32" s="86"/>
      <c r="F32" s="86"/>
    </row>
    <row r="33" spans="3:6" x14ac:dyDescent="0.2">
      <c r="C33" s="85"/>
      <c r="D33" s="86"/>
      <c r="E33" s="86"/>
      <c r="F33" s="86"/>
    </row>
    <row r="34" spans="3:6" x14ac:dyDescent="0.2">
      <c r="C34" s="85"/>
      <c r="D34" s="86"/>
      <c r="E34" s="86"/>
      <c r="F34" s="86"/>
    </row>
    <row r="35" spans="3:6" x14ac:dyDescent="0.2">
      <c r="C35" s="85"/>
      <c r="D35" s="86"/>
      <c r="E35" s="86"/>
      <c r="F35" s="86"/>
    </row>
    <row r="36" spans="3:6" x14ac:dyDescent="0.2">
      <c r="C36" s="85"/>
      <c r="D36" s="86"/>
      <c r="E36" s="86"/>
      <c r="F36" s="86"/>
    </row>
    <row r="37" spans="3:6" x14ac:dyDescent="0.2">
      <c r="C37" s="85"/>
      <c r="D37" s="86"/>
      <c r="E37" s="86"/>
      <c r="F37" s="86"/>
    </row>
    <row r="38" spans="3:6" x14ac:dyDescent="0.2">
      <c r="C38" s="85"/>
      <c r="D38" s="86"/>
      <c r="E38" s="86"/>
      <c r="F38" s="86"/>
    </row>
    <row r="39" spans="3:6" x14ac:dyDescent="0.2">
      <c r="C39" s="85"/>
      <c r="D39" s="86"/>
      <c r="E39" s="86"/>
      <c r="F39" s="86"/>
    </row>
    <row r="40" spans="3:6" x14ac:dyDescent="0.2">
      <c r="C40" s="85"/>
      <c r="D40" s="86"/>
      <c r="E40" s="86"/>
      <c r="F40" s="86"/>
    </row>
    <row r="41" spans="3:6" x14ac:dyDescent="0.2">
      <c r="C41" s="85"/>
      <c r="D41" s="86"/>
      <c r="E41" s="86"/>
      <c r="F41" s="86"/>
    </row>
    <row r="42" spans="3:6" x14ac:dyDescent="0.2">
      <c r="C42" s="85"/>
      <c r="D42" s="86"/>
      <c r="E42" s="86"/>
      <c r="F42" s="86"/>
    </row>
    <row r="43" spans="3:6" x14ac:dyDescent="0.2">
      <c r="C43" s="85"/>
      <c r="D43" s="86"/>
      <c r="E43" s="86"/>
      <c r="F43" s="86"/>
    </row>
  </sheetData>
  <pageMargins left="0.75" right="0.75" top="1" bottom="1" header="0.5" footer="0.5"/>
  <pageSetup orientation="portrait" r:id="rId1"/>
  <headerFooter>
    <oddHeader>&amp;C&amp;"Calibri"&amp;10&amp;K000000 Internal Use Only&amp;1#_x000D_</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6"/>
  <sheetViews>
    <sheetView workbookViewId="0"/>
  </sheetViews>
  <sheetFormatPr defaultColWidth="9.140625" defaultRowHeight="12.75" x14ac:dyDescent="0.2"/>
  <cols>
    <col min="1" max="1" width="9.140625" style="82"/>
    <col min="2" max="2" width="10.140625" style="82" bestFit="1" customWidth="1"/>
    <col min="3" max="3" width="14.140625" style="82" hidden="1" customWidth="1"/>
    <col min="4" max="4" width="14.5703125" style="82" bestFit="1" customWidth="1"/>
    <col min="5" max="6" width="9.140625" style="82"/>
    <col min="7" max="7" width="19.42578125" style="82" bestFit="1" customWidth="1"/>
    <col min="8" max="8" width="15.42578125" style="82" bestFit="1" customWidth="1"/>
    <col min="9" max="16" width="9.140625" style="82"/>
    <col min="17" max="17" width="14.5703125" style="82" bestFit="1" customWidth="1"/>
    <col min="18" max="18" width="11.5703125" style="82" bestFit="1" customWidth="1"/>
    <col min="19" max="16384" width="9.140625" style="82"/>
  </cols>
  <sheetData>
    <row r="1" spans="1:17" ht="18" x14ac:dyDescent="0.2">
      <c r="A1" s="8" t="s">
        <v>155</v>
      </c>
    </row>
    <row r="2" spans="1:17" ht="18" x14ac:dyDescent="0.2">
      <c r="A2" s="8"/>
    </row>
    <row r="3" spans="1:17" ht="14.25" x14ac:dyDescent="0.2">
      <c r="A3" s="109" t="s">
        <v>156</v>
      </c>
    </row>
    <row r="4" spans="1:17" x14ac:dyDescent="0.2">
      <c r="A4" s="89" t="s">
        <v>130</v>
      </c>
      <c r="B4" s="89" t="s">
        <v>131</v>
      </c>
      <c r="C4" s="88" t="s">
        <v>132</v>
      </c>
      <c r="D4" s="128" t="s">
        <v>157</v>
      </c>
    </row>
    <row r="5" spans="1:17" ht="15" x14ac:dyDescent="0.25">
      <c r="A5" s="90" t="s">
        <v>200</v>
      </c>
      <c r="B5" s="90" t="s">
        <v>201</v>
      </c>
      <c r="C5" s="90" t="s">
        <v>136</v>
      </c>
      <c r="D5" s="90">
        <v>117789</v>
      </c>
      <c r="E5"/>
      <c r="F5"/>
      <c r="G5"/>
      <c r="H5"/>
      <c r="I5"/>
      <c r="J5"/>
      <c r="K5"/>
      <c r="L5"/>
      <c r="M5"/>
      <c r="N5"/>
      <c r="O5"/>
      <c r="P5"/>
      <c r="Q5"/>
    </row>
    <row r="6" spans="1:17" ht="15" x14ac:dyDescent="0.25">
      <c r="A6" s="90" t="s">
        <v>200</v>
      </c>
      <c r="B6" s="90" t="s">
        <v>202</v>
      </c>
      <c r="C6" s="90" t="s">
        <v>137</v>
      </c>
      <c r="D6" s="90">
        <v>121245</v>
      </c>
      <c r="E6"/>
      <c r="F6"/>
      <c r="G6"/>
      <c r="H6"/>
      <c r="I6"/>
      <c r="J6"/>
      <c r="K6"/>
      <c r="L6"/>
      <c r="M6"/>
      <c r="N6"/>
      <c r="O6"/>
      <c r="P6"/>
      <c r="Q6"/>
    </row>
    <row r="7" spans="1:17" ht="15" x14ac:dyDescent="0.25">
      <c r="A7" s="90" t="s">
        <v>200</v>
      </c>
      <c r="B7" s="90" t="s">
        <v>203</v>
      </c>
      <c r="C7" s="90" t="s">
        <v>138</v>
      </c>
      <c r="D7" s="90">
        <v>123942</v>
      </c>
      <c r="E7"/>
      <c r="F7"/>
      <c r="G7"/>
      <c r="H7"/>
      <c r="I7"/>
      <c r="J7"/>
      <c r="K7"/>
      <c r="L7"/>
      <c r="M7"/>
      <c r="N7"/>
      <c r="O7"/>
      <c r="P7"/>
      <c r="Q7"/>
    </row>
    <row r="8" spans="1:17" ht="15" x14ac:dyDescent="0.25">
      <c r="A8" s="90" t="s">
        <v>200</v>
      </c>
      <c r="B8" s="90" t="s">
        <v>204</v>
      </c>
      <c r="C8" s="90" t="s">
        <v>139</v>
      </c>
      <c r="D8" s="90">
        <v>124805</v>
      </c>
      <c r="E8"/>
      <c r="F8"/>
      <c r="G8"/>
      <c r="H8"/>
      <c r="I8"/>
      <c r="J8"/>
      <c r="K8"/>
      <c r="L8"/>
      <c r="M8"/>
      <c r="N8"/>
      <c r="O8"/>
      <c r="P8"/>
      <c r="Q8"/>
    </row>
    <row r="9" spans="1:17" ht="15" x14ac:dyDescent="0.25">
      <c r="A9" s="90" t="s">
        <v>205</v>
      </c>
      <c r="B9" s="90" t="s">
        <v>201</v>
      </c>
      <c r="C9" s="90" t="s">
        <v>140</v>
      </c>
      <c r="D9" s="90">
        <v>120157</v>
      </c>
      <c r="E9"/>
      <c r="F9"/>
      <c r="G9"/>
      <c r="H9"/>
      <c r="I9"/>
      <c r="J9"/>
      <c r="K9"/>
      <c r="L9"/>
      <c r="M9"/>
      <c r="N9"/>
      <c r="O9"/>
      <c r="P9"/>
      <c r="Q9"/>
    </row>
    <row r="10" spans="1:17" ht="15" x14ac:dyDescent="0.25">
      <c r="A10" s="90" t="s">
        <v>205</v>
      </c>
      <c r="B10" s="90" t="s">
        <v>202</v>
      </c>
      <c r="C10" s="90" t="s">
        <v>141</v>
      </c>
      <c r="D10" s="90">
        <v>115270</v>
      </c>
      <c r="E10"/>
      <c r="F10"/>
      <c r="G10"/>
      <c r="H10"/>
      <c r="I10"/>
      <c r="J10"/>
      <c r="K10"/>
      <c r="L10"/>
      <c r="M10"/>
      <c r="N10"/>
      <c r="O10"/>
      <c r="P10"/>
      <c r="Q10"/>
    </row>
    <row r="11" spans="1:17" ht="15" x14ac:dyDescent="0.25">
      <c r="A11" s="90" t="s">
        <v>205</v>
      </c>
      <c r="B11" s="90" t="s">
        <v>203</v>
      </c>
      <c r="C11" s="90" t="s">
        <v>142</v>
      </c>
      <c r="D11" s="90">
        <v>105507</v>
      </c>
      <c r="E11"/>
      <c r="F11"/>
      <c r="G11"/>
      <c r="H11"/>
      <c r="I11"/>
      <c r="J11"/>
      <c r="K11"/>
      <c r="L11"/>
      <c r="M11"/>
      <c r="N11"/>
      <c r="O11"/>
      <c r="P11"/>
      <c r="Q11"/>
    </row>
    <row r="12" spans="1:17" ht="15" x14ac:dyDescent="0.25">
      <c r="A12" s="90" t="s">
        <v>205</v>
      </c>
      <c r="B12" s="90" t="s">
        <v>204</v>
      </c>
      <c r="C12" s="90" t="s">
        <v>143</v>
      </c>
      <c r="D12" s="90">
        <v>94091</v>
      </c>
      <c r="E12"/>
      <c r="F12"/>
      <c r="G12"/>
      <c r="H12"/>
      <c r="I12"/>
      <c r="J12"/>
      <c r="K12"/>
      <c r="L12"/>
      <c r="M12"/>
      <c r="N12"/>
      <c r="O12"/>
      <c r="P12"/>
      <c r="Q12"/>
    </row>
    <row r="13" spans="1:17" ht="15" x14ac:dyDescent="0.25">
      <c r="A13" s="90" t="s">
        <v>206</v>
      </c>
      <c r="B13" s="90" t="s">
        <v>201</v>
      </c>
      <c r="C13" s="90" t="s">
        <v>144</v>
      </c>
      <c r="D13" s="90">
        <v>86670</v>
      </c>
      <c r="E13"/>
      <c r="F13"/>
      <c r="G13"/>
      <c r="H13"/>
      <c r="I13"/>
      <c r="J13"/>
      <c r="K13"/>
      <c r="L13"/>
      <c r="M13"/>
      <c r="N13"/>
      <c r="O13"/>
      <c r="P13"/>
      <c r="Q13"/>
    </row>
    <row r="14" spans="1:17" ht="15" x14ac:dyDescent="0.25">
      <c r="A14" s="90" t="s">
        <v>206</v>
      </c>
      <c r="B14" s="90" t="s">
        <v>202</v>
      </c>
      <c r="C14" s="90" t="s">
        <v>145</v>
      </c>
      <c r="D14" s="90">
        <v>90853</v>
      </c>
      <c r="E14"/>
      <c r="F14"/>
      <c r="G14"/>
      <c r="H14"/>
      <c r="I14"/>
      <c r="J14"/>
      <c r="K14"/>
      <c r="L14"/>
      <c r="M14"/>
      <c r="N14"/>
      <c r="O14"/>
      <c r="P14"/>
      <c r="Q14"/>
    </row>
    <row r="15" spans="1:17" ht="15" x14ac:dyDescent="0.25">
      <c r="A15" s="90" t="s">
        <v>206</v>
      </c>
      <c r="B15" s="90" t="s">
        <v>203</v>
      </c>
      <c r="C15" s="90" t="s">
        <v>146</v>
      </c>
      <c r="D15" s="90">
        <v>89299</v>
      </c>
      <c r="E15"/>
      <c r="F15"/>
      <c r="G15"/>
      <c r="H15"/>
      <c r="I15"/>
      <c r="J15"/>
      <c r="K15"/>
      <c r="L15"/>
      <c r="M15"/>
      <c r="N15"/>
      <c r="O15"/>
      <c r="P15"/>
      <c r="Q15"/>
    </row>
    <row r="16" spans="1:17" ht="15" x14ac:dyDescent="0.25">
      <c r="A16" s="90" t="s">
        <v>206</v>
      </c>
      <c r="B16" s="90" t="s">
        <v>204</v>
      </c>
      <c r="C16" s="90" t="s">
        <v>147</v>
      </c>
      <c r="D16" s="90">
        <v>83602</v>
      </c>
      <c r="E16"/>
      <c r="F16"/>
      <c r="G16"/>
      <c r="H16"/>
      <c r="I16"/>
      <c r="J16"/>
      <c r="K16"/>
      <c r="L16"/>
      <c r="M16"/>
      <c r="N16"/>
      <c r="O16"/>
      <c r="P16"/>
      <c r="Q16"/>
    </row>
    <row r="17" spans="1:17" ht="15" x14ac:dyDescent="0.25">
      <c r="A17" s="90" t="s">
        <v>207</v>
      </c>
      <c r="B17" s="90" t="s">
        <v>201</v>
      </c>
      <c r="C17" s="90" t="s">
        <v>148</v>
      </c>
      <c r="D17" s="90">
        <v>82585</v>
      </c>
      <c r="E17"/>
      <c r="F17"/>
      <c r="G17"/>
      <c r="H17"/>
      <c r="I17"/>
      <c r="J17"/>
      <c r="K17"/>
      <c r="L17"/>
      <c r="M17"/>
      <c r="N17"/>
      <c r="O17"/>
      <c r="P17"/>
      <c r="Q17"/>
    </row>
    <row r="18" spans="1:17" ht="15" x14ac:dyDescent="0.25">
      <c r="A18" s="90" t="s">
        <v>207</v>
      </c>
      <c r="B18" s="90" t="s">
        <v>202</v>
      </c>
      <c r="C18" s="90" t="s">
        <v>149</v>
      </c>
      <c r="D18" s="90">
        <v>87633</v>
      </c>
      <c r="E18"/>
      <c r="F18"/>
      <c r="G18"/>
      <c r="H18"/>
      <c r="I18"/>
      <c r="J18"/>
      <c r="K18"/>
      <c r="L18"/>
      <c r="M18"/>
      <c r="N18"/>
      <c r="O18"/>
      <c r="P18"/>
      <c r="Q18"/>
    </row>
    <row r="19" spans="1:17" ht="15" x14ac:dyDescent="0.25">
      <c r="A19" s="90" t="s">
        <v>207</v>
      </c>
      <c r="B19" s="90" t="s">
        <v>203</v>
      </c>
      <c r="C19" s="90" t="s">
        <v>150</v>
      </c>
      <c r="D19" s="90">
        <v>88570</v>
      </c>
      <c r="E19"/>
      <c r="F19"/>
      <c r="G19"/>
      <c r="H19"/>
      <c r="I19"/>
      <c r="J19"/>
      <c r="K19"/>
      <c r="L19"/>
      <c r="M19"/>
      <c r="N19"/>
      <c r="O19"/>
      <c r="P19"/>
      <c r="Q19"/>
    </row>
    <row r="20" spans="1:17" ht="15" x14ac:dyDescent="0.25">
      <c r="A20" s="90" t="s">
        <v>207</v>
      </c>
      <c r="B20" s="90" t="s">
        <v>204</v>
      </c>
      <c r="C20" s="90" t="s">
        <v>151</v>
      </c>
      <c r="D20" s="90">
        <v>88762</v>
      </c>
      <c r="E20"/>
      <c r="F20"/>
      <c r="G20"/>
      <c r="H20"/>
      <c r="I20"/>
      <c r="J20"/>
      <c r="K20"/>
      <c r="L20"/>
      <c r="M20"/>
      <c r="N20"/>
      <c r="O20"/>
      <c r="P20"/>
      <c r="Q20"/>
    </row>
    <row r="21" spans="1:17" ht="15" x14ac:dyDescent="0.25">
      <c r="A21" s="90" t="s">
        <v>208</v>
      </c>
      <c r="B21" s="90" t="s">
        <v>201</v>
      </c>
      <c r="C21" s="90" t="s">
        <v>152</v>
      </c>
      <c r="D21" s="90">
        <v>84675</v>
      </c>
      <c r="E21"/>
      <c r="F21"/>
      <c r="G21"/>
      <c r="H21"/>
      <c r="I21"/>
      <c r="J21"/>
      <c r="K21"/>
      <c r="L21"/>
      <c r="M21"/>
      <c r="N21"/>
      <c r="O21"/>
      <c r="P21"/>
      <c r="Q21"/>
    </row>
    <row r="22" spans="1:17" ht="15" x14ac:dyDescent="0.25">
      <c r="A22" s="90" t="s">
        <v>208</v>
      </c>
      <c r="B22" s="90" t="s">
        <v>202</v>
      </c>
      <c r="C22" s="90" t="s">
        <v>153</v>
      </c>
      <c r="D22" s="90">
        <v>89207</v>
      </c>
      <c r="E22"/>
      <c r="F22"/>
      <c r="G22"/>
      <c r="H22"/>
      <c r="I22"/>
      <c r="J22"/>
      <c r="K22"/>
      <c r="L22"/>
      <c r="M22"/>
      <c r="N22"/>
      <c r="O22"/>
      <c r="P22"/>
      <c r="Q22"/>
    </row>
    <row r="23" spans="1:17" ht="15" x14ac:dyDescent="0.25">
      <c r="A23" s="90" t="s">
        <v>208</v>
      </c>
      <c r="B23" s="90" t="s">
        <v>203</v>
      </c>
      <c r="C23" s="90" t="s">
        <v>154</v>
      </c>
      <c r="D23" s="90">
        <v>89128</v>
      </c>
      <c r="E23"/>
      <c r="F23"/>
      <c r="G23"/>
      <c r="H23"/>
      <c r="I23"/>
      <c r="J23"/>
      <c r="K23"/>
      <c r="L23"/>
      <c r="M23"/>
      <c r="N23"/>
      <c r="O23"/>
      <c r="P23"/>
      <c r="Q23"/>
    </row>
    <row r="24" spans="1:17" ht="15" x14ac:dyDescent="0.25">
      <c r="A24" s="133" t="s">
        <v>208</v>
      </c>
      <c r="B24" s="133" t="s">
        <v>204</v>
      </c>
      <c r="C24" s="133" t="s">
        <v>192</v>
      </c>
      <c r="D24" s="133">
        <v>89566</v>
      </c>
      <c r="E24"/>
      <c r="F24"/>
      <c r="G24"/>
      <c r="H24"/>
      <c r="I24"/>
      <c r="J24"/>
      <c r="K24"/>
      <c r="L24"/>
      <c r="M24"/>
      <c r="N24"/>
      <c r="O24"/>
      <c r="P24"/>
      <c r="Q24"/>
    </row>
    <row r="25" spans="1:17" x14ac:dyDescent="0.2">
      <c r="A25" s="134" t="s">
        <v>209</v>
      </c>
      <c r="B25" s="133" t="s">
        <v>201</v>
      </c>
      <c r="C25" s="134" t="s">
        <v>193</v>
      </c>
      <c r="D25" s="133">
        <v>86192</v>
      </c>
    </row>
    <row r="26" spans="1:17" x14ac:dyDescent="0.2">
      <c r="B26" s="81"/>
      <c r="C26" s="81"/>
    </row>
    <row r="27" spans="1:17" x14ac:dyDescent="0.2">
      <c r="B27" s="81"/>
      <c r="C27" s="81"/>
    </row>
    <row r="28" spans="1:17" x14ac:dyDescent="0.2">
      <c r="B28" s="81"/>
      <c r="C28" s="81"/>
    </row>
    <row r="29" spans="1:17" x14ac:dyDescent="0.2">
      <c r="B29" s="81"/>
      <c r="C29" s="81"/>
    </row>
    <row r="30" spans="1:17" x14ac:dyDescent="0.2">
      <c r="B30" s="81"/>
      <c r="C30" s="81"/>
    </row>
    <row r="31" spans="1:17" x14ac:dyDescent="0.2">
      <c r="B31" s="81"/>
      <c r="C31" s="81"/>
    </row>
    <row r="32" spans="1:17" x14ac:dyDescent="0.2">
      <c r="B32" s="81"/>
      <c r="C32" s="81"/>
    </row>
    <row r="33" spans="2:3" x14ac:dyDescent="0.2">
      <c r="B33" s="81"/>
      <c r="C33" s="81"/>
    </row>
    <row r="34" spans="2:3" x14ac:dyDescent="0.2">
      <c r="B34" s="81"/>
      <c r="C34" s="81"/>
    </row>
    <row r="35" spans="2:3" x14ac:dyDescent="0.2">
      <c r="B35" s="81"/>
      <c r="C35" s="81"/>
    </row>
    <row r="52" spans="4:15" x14ac:dyDescent="0.2">
      <c r="D52" s="81"/>
      <c r="E52" s="81"/>
      <c r="F52" s="81"/>
      <c r="G52" s="81"/>
      <c r="I52" s="81"/>
      <c r="J52" s="81"/>
      <c r="K52" s="81"/>
      <c r="L52" s="81"/>
      <c r="M52" s="81"/>
      <c r="N52" s="81"/>
    </row>
    <row r="53" spans="4:15" x14ac:dyDescent="0.2">
      <c r="D53" s="81"/>
      <c r="E53" s="81"/>
      <c r="F53" s="81"/>
      <c r="G53" s="81"/>
      <c r="I53" s="81"/>
      <c r="J53" s="81"/>
      <c r="K53" s="81"/>
      <c r="L53" s="81"/>
      <c r="M53" s="81"/>
      <c r="N53" s="81"/>
    </row>
    <row r="54" spans="4:15" x14ac:dyDescent="0.2">
      <c r="D54" s="81"/>
      <c r="E54" s="81"/>
      <c r="F54" s="81"/>
      <c r="G54" s="81"/>
      <c r="I54" s="81"/>
      <c r="J54" s="81"/>
      <c r="K54" s="81"/>
      <c r="L54" s="81"/>
      <c r="M54" s="81"/>
      <c r="N54" s="81"/>
    </row>
    <row r="55" spans="4:15" x14ac:dyDescent="0.2">
      <c r="D55" s="81"/>
      <c r="E55" s="81"/>
      <c r="F55" s="81"/>
      <c r="G55" s="81"/>
      <c r="I55" s="81"/>
      <c r="J55" s="81"/>
      <c r="K55" s="81"/>
      <c r="L55" s="81"/>
      <c r="M55" s="81"/>
      <c r="N55" s="81"/>
    </row>
    <row r="56" spans="4:15" x14ac:dyDescent="0.2">
      <c r="D56" s="81"/>
      <c r="E56" s="81"/>
      <c r="F56" s="81"/>
      <c r="G56" s="81"/>
      <c r="I56" s="81"/>
      <c r="J56" s="81"/>
      <c r="K56" s="81"/>
      <c r="L56" s="81"/>
      <c r="M56" s="81"/>
      <c r="N56" s="81"/>
    </row>
    <row r="57" spans="4:15" x14ac:dyDescent="0.2">
      <c r="D57" s="81"/>
      <c r="E57" s="81"/>
      <c r="F57" s="81"/>
      <c r="G57" s="81"/>
      <c r="I57" s="81"/>
      <c r="J57" s="81"/>
      <c r="K57" s="81"/>
      <c r="L57" s="81"/>
      <c r="M57" s="81"/>
      <c r="N57" s="81"/>
    </row>
    <row r="58" spans="4:15" x14ac:dyDescent="0.2">
      <c r="D58" s="81"/>
      <c r="E58" s="81"/>
      <c r="F58" s="81"/>
      <c r="G58" s="81"/>
      <c r="H58" s="81"/>
      <c r="J58" s="81"/>
      <c r="K58" s="81"/>
      <c r="L58" s="81"/>
      <c r="M58" s="81"/>
      <c r="N58" s="81"/>
      <c r="O58" s="81"/>
    </row>
    <row r="59" spans="4:15" x14ac:dyDescent="0.2">
      <c r="E59" s="81"/>
      <c r="F59" s="81"/>
      <c r="G59" s="81"/>
      <c r="H59" s="81"/>
      <c r="J59" s="81"/>
      <c r="K59" s="81"/>
      <c r="L59" s="81"/>
      <c r="M59" s="81"/>
      <c r="N59" s="81"/>
      <c r="O59" s="81"/>
    </row>
    <row r="60" spans="4:15" x14ac:dyDescent="0.2">
      <c r="E60" s="81"/>
      <c r="F60" s="81"/>
      <c r="G60" s="81"/>
      <c r="H60" s="81"/>
      <c r="J60" s="81"/>
      <c r="K60" s="81"/>
      <c r="L60" s="81"/>
      <c r="M60" s="81"/>
      <c r="N60" s="81"/>
      <c r="O60" s="81"/>
    </row>
    <row r="61" spans="4:15" x14ac:dyDescent="0.2">
      <c r="E61" s="81"/>
      <c r="F61" s="81"/>
      <c r="G61" s="81"/>
      <c r="H61" s="81"/>
      <c r="J61" s="81"/>
      <c r="K61" s="81"/>
      <c r="L61" s="81"/>
      <c r="M61" s="81"/>
      <c r="N61" s="81"/>
      <c r="O61" s="81"/>
    </row>
    <row r="62" spans="4:15" x14ac:dyDescent="0.2">
      <c r="E62" s="81"/>
      <c r="F62" s="81"/>
      <c r="G62" s="81"/>
      <c r="H62" s="81"/>
      <c r="I62" s="81"/>
      <c r="J62" s="81"/>
      <c r="K62" s="81"/>
      <c r="L62" s="81"/>
      <c r="M62" s="81"/>
      <c r="N62" s="81"/>
      <c r="O62" s="81"/>
    </row>
    <row r="63" spans="4:15" x14ac:dyDescent="0.2">
      <c r="E63" s="81"/>
      <c r="F63" s="81"/>
      <c r="G63" s="81"/>
      <c r="H63" s="81"/>
      <c r="I63" s="81"/>
      <c r="J63" s="81"/>
      <c r="K63" s="81"/>
      <c r="L63" s="81"/>
      <c r="M63" s="81"/>
      <c r="N63" s="81"/>
      <c r="O63" s="81"/>
    </row>
    <row r="64" spans="4:15" x14ac:dyDescent="0.2">
      <c r="E64" s="81"/>
      <c r="F64" s="81"/>
      <c r="G64" s="81"/>
      <c r="H64" s="81"/>
      <c r="I64" s="81"/>
      <c r="J64" s="81"/>
      <c r="K64" s="81"/>
      <c r="L64" s="81"/>
      <c r="M64" s="81"/>
      <c r="N64" s="81"/>
      <c r="O64" s="81"/>
    </row>
    <row r="65" spans="5:15" x14ac:dyDescent="0.2">
      <c r="E65" s="81"/>
      <c r="F65" s="81"/>
      <c r="G65" s="81"/>
      <c r="H65" s="81"/>
      <c r="I65" s="81"/>
      <c r="J65" s="81"/>
      <c r="K65" s="81"/>
      <c r="L65" s="81"/>
      <c r="M65" s="81"/>
      <c r="N65" s="81"/>
      <c r="O65" s="81"/>
    </row>
    <row r="66" spans="5:15" x14ac:dyDescent="0.2">
      <c r="E66" s="81"/>
      <c r="F66" s="81"/>
      <c r="G66" s="81"/>
      <c r="H66" s="81"/>
      <c r="I66" s="81"/>
      <c r="J66" s="81"/>
      <c r="K66" s="81"/>
      <c r="L66" s="81"/>
      <c r="M66" s="81"/>
      <c r="N66" s="81"/>
      <c r="O66" s="81"/>
    </row>
  </sheetData>
  <phoneticPr fontId="51" type="noConversion"/>
  <pageMargins left="0.75" right="0.75" top="1" bottom="1" header="0.5" footer="0.5"/>
  <pageSetup orientation="portrait" r:id="rId1"/>
  <headerFooter>
    <oddHeader>&amp;C&amp;"Calibri"&amp;10&amp;K000000 Internal Use Only&amp;1#_x000D_</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25"/>
  <sheetViews>
    <sheetView workbookViewId="0"/>
  </sheetViews>
  <sheetFormatPr defaultRowHeight="15" x14ac:dyDescent="0.25"/>
  <cols>
    <col min="1" max="1" width="20.140625" customWidth="1"/>
    <col min="2" max="2" width="12.5703125" customWidth="1"/>
    <col min="3" max="7" width="11.42578125" customWidth="1"/>
    <col min="8" max="8" width="8.85546875" customWidth="1"/>
    <col min="9" max="39" width="8.5703125" customWidth="1"/>
    <col min="40" max="40" width="8.85546875" customWidth="1"/>
  </cols>
  <sheetData>
    <row r="1" spans="1:7" ht="18" x14ac:dyDescent="0.25">
      <c r="A1" s="91" t="s">
        <v>194</v>
      </c>
    </row>
    <row r="2" spans="1:7" ht="15.75" thickBot="1" x14ac:dyDescent="0.3"/>
    <row r="3" spans="1:7" x14ac:dyDescent="0.25">
      <c r="A3" s="92" t="s">
        <v>158</v>
      </c>
      <c r="B3" s="93" t="s">
        <v>159</v>
      </c>
      <c r="C3" s="93" t="s">
        <v>160</v>
      </c>
      <c r="D3" s="94" t="s">
        <v>161</v>
      </c>
      <c r="E3" s="94" t="s">
        <v>162</v>
      </c>
      <c r="F3" s="94" t="s">
        <v>163</v>
      </c>
      <c r="G3" s="95" t="s">
        <v>164</v>
      </c>
    </row>
    <row r="4" spans="1:7" x14ac:dyDescent="0.25">
      <c r="A4" s="96" t="s">
        <v>35</v>
      </c>
      <c r="B4" s="97">
        <v>6374</v>
      </c>
      <c r="C4" s="98">
        <v>1982</v>
      </c>
      <c r="D4" s="99">
        <v>1629</v>
      </c>
      <c r="E4" s="99">
        <v>1106</v>
      </c>
      <c r="F4" s="99">
        <v>1598</v>
      </c>
      <c r="G4" s="100">
        <v>106</v>
      </c>
    </row>
    <row r="5" spans="1:7" x14ac:dyDescent="0.25">
      <c r="A5" s="96" t="s">
        <v>36</v>
      </c>
      <c r="B5" s="97">
        <v>721</v>
      </c>
      <c r="C5" s="98">
        <v>172</v>
      </c>
      <c r="D5" s="99">
        <v>14</v>
      </c>
      <c r="E5" s="99">
        <v>141</v>
      </c>
      <c r="F5" s="99">
        <v>396</v>
      </c>
      <c r="G5" s="100" t="s">
        <v>97</v>
      </c>
    </row>
    <row r="6" spans="1:7" x14ac:dyDescent="0.25">
      <c r="A6" s="96" t="s">
        <v>37</v>
      </c>
      <c r="B6" s="97">
        <v>6839</v>
      </c>
      <c r="C6" s="98">
        <v>297</v>
      </c>
      <c r="D6" s="99">
        <v>299</v>
      </c>
      <c r="E6" s="99">
        <v>1559</v>
      </c>
      <c r="F6" s="99">
        <v>4700</v>
      </c>
      <c r="G6" s="100">
        <v>1</v>
      </c>
    </row>
    <row r="7" spans="1:7" x14ac:dyDescent="0.25">
      <c r="A7" s="96" t="s">
        <v>39</v>
      </c>
      <c r="B7" s="97">
        <v>4297</v>
      </c>
      <c r="C7" s="98">
        <v>903</v>
      </c>
      <c r="D7" s="99">
        <v>2449</v>
      </c>
      <c r="E7" s="99">
        <v>350</v>
      </c>
      <c r="F7" s="99">
        <v>568</v>
      </c>
      <c r="G7" s="100">
        <v>57</v>
      </c>
    </row>
    <row r="8" spans="1:7" x14ac:dyDescent="0.25">
      <c r="A8" s="96" t="s">
        <v>165</v>
      </c>
      <c r="B8" s="97">
        <v>30653</v>
      </c>
      <c r="C8" s="98">
        <v>1997</v>
      </c>
      <c r="D8" s="99">
        <v>1321</v>
      </c>
      <c r="E8" s="99">
        <v>5586</v>
      </c>
      <c r="F8" s="99">
        <v>21846</v>
      </c>
      <c r="G8" s="100">
        <v>4</v>
      </c>
    </row>
    <row r="9" spans="1:7" x14ac:dyDescent="0.25">
      <c r="A9" s="96" t="s">
        <v>42</v>
      </c>
      <c r="B9" s="97">
        <v>7255</v>
      </c>
      <c r="C9" s="98">
        <v>1027</v>
      </c>
      <c r="D9" s="99">
        <v>896</v>
      </c>
      <c r="E9" s="99">
        <v>1858</v>
      </c>
      <c r="F9" s="99">
        <v>3590</v>
      </c>
      <c r="G9" s="100">
        <v>6</v>
      </c>
    </row>
    <row r="10" spans="1:7" x14ac:dyDescent="0.25">
      <c r="A10" s="96" t="s">
        <v>44</v>
      </c>
      <c r="B10" s="97">
        <v>5039</v>
      </c>
      <c r="C10" s="98">
        <v>947</v>
      </c>
      <c r="D10" s="99">
        <v>828</v>
      </c>
      <c r="E10" s="99">
        <v>547</v>
      </c>
      <c r="F10" s="99">
        <v>2745</v>
      </c>
      <c r="G10" s="100">
        <v>7</v>
      </c>
    </row>
    <row r="11" spans="1:7" x14ac:dyDescent="0.25">
      <c r="A11" s="96" t="s">
        <v>45</v>
      </c>
      <c r="B11" s="97">
        <v>1423</v>
      </c>
      <c r="C11" s="98">
        <v>92</v>
      </c>
      <c r="D11" s="99">
        <v>223</v>
      </c>
      <c r="E11" s="99">
        <v>169</v>
      </c>
      <c r="F11" s="99">
        <v>933</v>
      </c>
      <c r="G11" s="100">
        <v>8</v>
      </c>
    </row>
    <row r="12" spans="1:7" x14ac:dyDescent="0.25">
      <c r="A12" s="96" t="s">
        <v>46</v>
      </c>
      <c r="B12" s="97">
        <v>1032</v>
      </c>
      <c r="C12" s="98">
        <v>55</v>
      </c>
      <c r="D12" s="99">
        <v>80</v>
      </c>
      <c r="E12" s="99">
        <v>122</v>
      </c>
      <c r="F12" s="99">
        <v>776</v>
      </c>
      <c r="G12" s="100" t="s">
        <v>97</v>
      </c>
    </row>
    <row r="13" spans="1:7" x14ac:dyDescent="0.25">
      <c r="A13" s="96" t="s">
        <v>47</v>
      </c>
      <c r="B13" s="97">
        <v>24795</v>
      </c>
      <c r="C13" s="98">
        <v>3710</v>
      </c>
      <c r="D13" s="99">
        <v>2594</v>
      </c>
      <c r="E13" s="99">
        <v>5082</v>
      </c>
      <c r="F13" s="99">
        <v>13531</v>
      </c>
      <c r="G13" s="100">
        <v>42</v>
      </c>
    </row>
    <row r="14" spans="1:7" x14ac:dyDescent="0.25">
      <c r="A14" s="96" t="s">
        <v>48</v>
      </c>
      <c r="B14" s="97">
        <v>8856</v>
      </c>
      <c r="C14" s="98">
        <v>3062</v>
      </c>
      <c r="D14" s="99">
        <v>1408</v>
      </c>
      <c r="E14" s="99">
        <v>878</v>
      </c>
      <c r="F14" s="99">
        <v>3485</v>
      </c>
      <c r="G14" s="100">
        <v>93</v>
      </c>
    </row>
    <row r="15" spans="1:7" x14ac:dyDescent="0.25">
      <c r="A15" s="96" t="s">
        <v>49</v>
      </c>
      <c r="B15" s="97">
        <v>89</v>
      </c>
      <c r="C15" s="98">
        <v>42</v>
      </c>
      <c r="D15" s="99">
        <v>21</v>
      </c>
      <c r="E15" s="99">
        <v>22</v>
      </c>
      <c r="F15" s="99">
        <v>4</v>
      </c>
      <c r="G15" s="100" t="s">
        <v>97</v>
      </c>
    </row>
    <row r="16" spans="1:7" x14ac:dyDescent="0.25">
      <c r="A16" s="96" t="s">
        <v>50</v>
      </c>
      <c r="B16" s="97">
        <v>1616</v>
      </c>
      <c r="C16" s="98">
        <v>196</v>
      </c>
      <c r="D16" s="99">
        <v>574</v>
      </c>
      <c r="E16" s="99">
        <v>508</v>
      </c>
      <c r="F16" s="99">
        <v>344</v>
      </c>
      <c r="G16" s="100" t="s">
        <v>97</v>
      </c>
    </row>
    <row r="17" spans="1:7" x14ac:dyDescent="0.25">
      <c r="A17" s="96" t="s">
        <v>51</v>
      </c>
      <c r="B17" s="97">
        <v>2644</v>
      </c>
      <c r="C17" s="98">
        <v>578</v>
      </c>
      <c r="D17" s="99">
        <v>86</v>
      </c>
      <c r="E17" s="99">
        <v>1115</v>
      </c>
      <c r="F17" s="99">
        <v>866</v>
      </c>
      <c r="G17" s="100">
        <v>6</v>
      </c>
    </row>
    <row r="18" spans="1:7" x14ac:dyDescent="0.25">
      <c r="A18" s="96" t="s">
        <v>52</v>
      </c>
      <c r="B18" s="97">
        <v>14763</v>
      </c>
      <c r="C18" s="98">
        <v>2492</v>
      </c>
      <c r="D18" s="99">
        <v>816</v>
      </c>
      <c r="E18" s="99">
        <v>1685</v>
      </c>
      <c r="F18" s="99">
        <v>9826</v>
      </c>
      <c r="G18" s="100">
        <v>15</v>
      </c>
    </row>
    <row r="19" spans="1:7" x14ac:dyDescent="0.25">
      <c r="A19" s="96" t="s">
        <v>166</v>
      </c>
      <c r="B19" s="97">
        <v>8031</v>
      </c>
      <c r="C19" s="98">
        <v>2239</v>
      </c>
      <c r="D19" s="99">
        <v>975</v>
      </c>
      <c r="E19" s="99">
        <v>1890</v>
      </c>
      <c r="F19" s="99">
        <v>2934</v>
      </c>
      <c r="G19" s="100">
        <v>54</v>
      </c>
    </row>
    <row r="20" spans="1:7" x14ac:dyDescent="0.25">
      <c r="A20" s="96" t="s">
        <v>55</v>
      </c>
      <c r="B20" s="97">
        <v>4504</v>
      </c>
      <c r="C20" s="98">
        <v>1713</v>
      </c>
      <c r="D20" s="99">
        <v>692</v>
      </c>
      <c r="E20" s="99">
        <v>916</v>
      </c>
      <c r="F20" s="99">
        <v>1229</v>
      </c>
      <c r="G20" s="100">
        <v>14</v>
      </c>
    </row>
    <row r="21" spans="1:7" x14ac:dyDescent="0.25">
      <c r="A21" s="96" t="s">
        <v>56</v>
      </c>
      <c r="B21" s="97">
        <v>3633</v>
      </c>
      <c r="C21" s="98">
        <v>1121</v>
      </c>
      <c r="D21" s="99">
        <v>630</v>
      </c>
      <c r="E21" s="99">
        <v>583</v>
      </c>
      <c r="F21" s="99">
        <v>1324</v>
      </c>
      <c r="G21" s="100">
        <v>13</v>
      </c>
    </row>
    <row r="22" spans="1:7" x14ac:dyDescent="0.25">
      <c r="A22" s="96" t="s">
        <v>57</v>
      </c>
      <c r="B22" s="97">
        <v>5687</v>
      </c>
      <c r="C22" s="98">
        <v>1874</v>
      </c>
      <c r="D22" s="99">
        <v>773</v>
      </c>
      <c r="E22" s="99">
        <v>590</v>
      </c>
      <c r="F22" s="99">
        <v>2217</v>
      </c>
      <c r="G22" s="100">
        <v>266</v>
      </c>
    </row>
    <row r="23" spans="1:7" x14ac:dyDescent="0.25">
      <c r="A23" s="96" t="s">
        <v>58</v>
      </c>
      <c r="B23" s="97">
        <v>4940</v>
      </c>
      <c r="C23" s="98">
        <v>2390</v>
      </c>
      <c r="D23" s="99">
        <v>624</v>
      </c>
      <c r="E23" s="99">
        <v>652</v>
      </c>
      <c r="F23" s="99">
        <v>1291</v>
      </c>
      <c r="G23" s="100">
        <v>50</v>
      </c>
    </row>
    <row r="24" spans="1:7" x14ac:dyDescent="0.25">
      <c r="A24" s="96" t="s">
        <v>59</v>
      </c>
      <c r="B24" s="97">
        <v>1475</v>
      </c>
      <c r="C24" s="98">
        <v>475</v>
      </c>
      <c r="D24" s="99">
        <v>71</v>
      </c>
      <c r="E24" s="99">
        <v>454</v>
      </c>
      <c r="F24" s="99">
        <v>481</v>
      </c>
      <c r="G24" s="100">
        <v>1</v>
      </c>
    </row>
    <row r="25" spans="1:7" x14ac:dyDescent="0.25">
      <c r="A25" s="96" t="s">
        <v>60</v>
      </c>
      <c r="B25" s="97">
        <v>5549</v>
      </c>
      <c r="C25" s="98">
        <v>1130</v>
      </c>
      <c r="D25" s="99">
        <v>998</v>
      </c>
      <c r="E25" s="99">
        <v>808</v>
      </c>
      <c r="F25" s="99">
        <v>2607</v>
      </c>
      <c r="G25" s="100">
        <v>45</v>
      </c>
    </row>
    <row r="26" spans="1:7" x14ac:dyDescent="0.25">
      <c r="A26" s="96" t="s">
        <v>61</v>
      </c>
      <c r="B26" s="97">
        <v>8908</v>
      </c>
      <c r="C26" s="98">
        <v>3330</v>
      </c>
      <c r="D26" s="99">
        <v>1120</v>
      </c>
      <c r="E26" s="99">
        <v>1456</v>
      </c>
      <c r="F26" s="99">
        <v>3057</v>
      </c>
      <c r="G26" s="100" t="s">
        <v>97</v>
      </c>
    </row>
    <row r="27" spans="1:7" x14ac:dyDescent="0.25">
      <c r="A27" s="96" t="s">
        <v>62</v>
      </c>
      <c r="B27" s="97">
        <v>11191</v>
      </c>
      <c r="C27" s="98">
        <v>1104</v>
      </c>
      <c r="D27" s="99">
        <v>724</v>
      </c>
      <c r="E27" s="99">
        <v>3870</v>
      </c>
      <c r="F27" s="99">
        <v>5479</v>
      </c>
      <c r="G27" s="100">
        <v>95</v>
      </c>
    </row>
    <row r="28" spans="1:7" x14ac:dyDescent="0.25">
      <c r="A28" s="96" t="s">
        <v>63</v>
      </c>
      <c r="B28" s="97">
        <v>7138</v>
      </c>
      <c r="C28" s="98">
        <v>1661</v>
      </c>
      <c r="D28" s="99">
        <v>307</v>
      </c>
      <c r="E28" s="99">
        <v>1261</v>
      </c>
      <c r="F28" s="99">
        <v>3954</v>
      </c>
      <c r="G28" s="100">
        <v>25</v>
      </c>
    </row>
    <row r="29" spans="1:7" x14ac:dyDescent="0.25">
      <c r="A29" s="96" t="s">
        <v>64</v>
      </c>
      <c r="B29" s="97">
        <v>3642</v>
      </c>
      <c r="C29" s="98">
        <v>1811</v>
      </c>
      <c r="D29" s="99">
        <v>766</v>
      </c>
      <c r="E29" s="99">
        <v>221</v>
      </c>
      <c r="F29" s="99">
        <v>801</v>
      </c>
      <c r="G29" s="100">
        <v>62</v>
      </c>
    </row>
    <row r="30" spans="1:7" x14ac:dyDescent="0.25">
      <c r="A30" s="96" t="s">
        <v>65</v>
      </c>
      <c r="B30" s="97">
        <v>9038</v>
      </c>
      <c r="C30" s="98">
        <v>2625</v>
      </c>
      <c r="D30" s="99">
        <v>2205</v>
      </c>
      <c r="E30" s="99">
        <v>1012</v>
      </c>
      <c r="F30" s="99">
        <v>3182</v>
      </c>
      <c r="G30" s="100">
        <v>66</v>
      </c>
    </row>
    <row r="31" spans="1:7" x14ac:dyDescent="0.25">
      <c r="A31" s="96" t="s">
        <v>66</v>
      </c>
      <c r="B31" s="97">
        <v>1332</v>
      </c>
      <c r="C31" s="98">
        <v>469</v>
      </c>
      <c r="D31" s="99">
        <v>301</v>
      </c>
      <c r="E31" s="99">
        <v>257</v>
      </c>
      <c r="F31" s="99">
        <v>305</v>
      </c>
      <c r="G31" s="100">
        <v>4</v>
      </c>
    </row>
    <row r="32" spans="1:7" x14ac:dyDescent="0.25">
      <c r="A32" s="96" t="s">
        <v>67</v>
      </c>
      <c r="B32" s="97">
        <v>2860</v>
      </c>
      <c r="C32" s="98">
        <v>884</v>
      </c>
      <c r="D32" s="99">
        <v>735</v>
      </c>
      <c r="E32" s="99">
        <v>270</v>
      </c>
      <c r="F32" s="99">
        <v>995</v>
      </c>
      <c r="G32" s="100">
        <v>11</v>
      </c>
    </row>
    <row r="33" spans="1:7" x14ac:dyDescent="0.25">
      <c r="A33" s="96" t="s">
        <v>68</v>
      </c>
      <c r="B33" s="97">
        <v>2029</v>
      </c>
      <c r="C33" s="98">
        <v>83</v>
      </c>
      <c r="D33" s="99">
        <v>66</v>
      </c>
      <c r="E33" s="99">
        <v>287</v>
      </c>
      <c r="F33" s="99">
        <v>1597</v>
      </c>
      <c r="G33" s="100" t="s">
        <v>97</v>
      </c>
    </row>
    <row r="34" spans="1:7" x14ac:dyDescent="0.25">
      <c r="A34" s="96" t="s">
        <v>69</v>
      </c>
      <c r="B34" s="97">
        <v>1330</v>
      </c>
      <c r="C34" s="98">
        <v>229</v>
      </c>
      <c r="D34" s="99">
        <v>121</v>
      </c>
      <c r="E34" s="99">
        <v>375</v>
      </c>
      <c r="F34" s="99">
        <v>616</v>
      </c>
      <c r="G34" s="100" t="s">
        <v>97</v>
      </c>
    </row>
    <row r="35" spans="1:7" x14ac:dyDescent="0.25">
      <c r="A35" s="96" t="s">
        <v>70</v>
      </c>
      <c r="B35" s="97">
        <v>9285</v>
      </c>
      <c r="C35" s="98">
        <v>1484</v>
      </c>
      <c r="D35" s="99">
        <v>551</v>
      </c>
      <c r="E35" s="99">
        <v>661</v>
      </c>
      <c r="F35" s="99">
        <v>6619</v>
      </c>
      <c r="G35" s="100">
        <v>2</v>
      </c>
    </row>
    <row r="36" spans="1:7" x14ac:dyDescent="0.25">
      <c r="A36" s="96" t="s">
        <v>71</v>
      </c>
      <c r="B36" s="97">
        <v>1253</v>
      </c>
      <c r="C36" s="98">
        <v>331</v>
      </c>
      <c r="D36" s="99">
        <v>38</v>
      </c>
      <c r="E36" s="99">
        <v>197</v>
      </c>
      <c r="F36" s="99">
        <v>685</v>
      </c>
      <c r="G36" s="100">
        <v>8</v>
      </c>
    </row>
    <row r="37" spans="1:7" x14ac:dyDescent="0.25">
      <c r="A37" s="96" t="s">
        <v>72</v>
      </c>
      <c r="B37" s="97">
        <v>21146</v>
      </c>
      <c r="C37" s="98">
        <v>952</v>
      </c>
      <c r="D37" s="99">
        <v>2315</v>
      </c>
      <c r="E37" s="99">
        <v>3943</v>
      </c>
      <c r="F37" s="99">
        <v>13985</v>
      </c>
      <c r="G37" s="100">
        <v>20</v>
      </c>
    </row>
    <row r="38" spans="1:7" x14ac:dyDescent="0.25">
      <c r="A38" s="96" t="s">
        <v>73</v>
      </c>
      <c r="B38" s="97">
        <v>10599</v>
      </c>
      <c r="C38" s="98">
        <v>2712</v>
      </c>
      <c r="D38" s="99">
        <v>1368</v>
      </c>
      <c r="E38" s="99">
        <v>2189</v>
      </c>
      <c r="F38" s="99">
        <v>4247</v>
      </c>
      <c r="G38" s="100">
        <v>150</v>
      </c>
    </row>
    <row r="39" spans="1:7" x14ac:dyDescent="0.25">
      <c r="A39" s="96" t="s">
        <v>74</v>
      </c>
      <c r="B39" s="97">
        <v>1037</v>
      </c>
      <c r="C39" s="98">
        <v>353</v>
      </c>
      <c r="D39" s="99">
        <v>32</v>
      </c>
      <c r="E39" s="99">
        <v>241</v>
      </c>
      <c r="F39" s="99">
        <v>416</v>
      </c>
      <c r="G39" s="100">
        <v>2</v>
      </c>
    </row>
    <row r="40" spans="1:7" x14ac:dyDescent="0.25">
      <c r="A40" s="96" t="s">
        <v>75</v>
      </c>
      <c r="B40" s="97">
        <v>14648</v>
      </c>
      <c r="C40" s="98">
        <v>1598</v>
      </c>
      <c r="D40" s="99">
        <v>1106</v>
      </c>
      <c r="E40" s="99">
        <v>2256</v>
      </c>
      <c r="F40" s="99">
        <v>9706</v>
      </c>
      <c r="G40" s="100">
        <v>79</v>
      </c>
    </row>
    <row r="41" spans="1:7" x14ac:dyDescent="0.25">
      <c r="A41" s="96" t="s">
        <v>167</v>
      </c>
      <c r="B41" s="97">
        <v>4204</v>
      </c>
      <c r="C41" s="98">
        <v>1093</v>
      </c>
      <c r="D41" s="99">
        <v>1703</v>
      </c>
      <c r="E41" s="99">
        <v>574</v>
      </c>
      <c r="F41" s="99">
        <v>860</v>
      </c>
      <c r="G41" s="100">
        <v>19</v>
      </c>
    </row>
    <row r="42" spans="1:7" x14ac:dyDescent="0.25">
      <c r="A42" s="96" t="s">
        <v>77</v>
      </c>
      <c r="B42" s="97">
        <v>4083</v>
      </c>
      <c r="C42" s="98">
        <v>745</v>
      </c>
      <c r="D42" s="99">
        <v>185</v>
      </c>
      <c r="E42" s="99">
        <v>1136</v>
      </c>
      <c r="F42" s="99">
        <v>2021</v>
      </c>
      <c r="G42" s="100">
        <v>7</v>
      </c>
    </row>
    <row r="43" spans="1:7" x14ac:dyDescent="0.25">
      <c r="A43" s="96" t="s">
        <v>78</v>
      </c>
      <c r="B43" s="97">
        <v>15367</v>
      </c>
      <c r="C43" s="98">
        <v>3303</v>
      </c>
      <c r="D43" s="99">
        <v>1342</v>
      </c>
      <c r="E43" s="99">
        <v>2549</v>
      </c>
      <c r="F43" s="99">
        <v>8137</v>
      </c>
      <c r="G43" s="100">
        <v>125</v>
      </c>
    </row>
    <row r="44" spans="1:7" x14ac:dyDescent="0.25">
      <c r="A44" s="96" t="s">
        <v>79</v>
      </c>
      <c r="B44" s="97">
        <v>628</v>
      </c>
      <c r="C44" s="98">
        <v>122</v>
      </c>
      <c r="D44" s="99">
        <v>153</v>
      </c>
      <c r="E44" s="99">
        <v>303</v>
      </c>
      <c r="F44" s="99">
        <v>45</v>
      </c>
      <c r="G44" s="100">
        <v>7</v>
      </c>
    </row>
    <row r="45" spans="1:7" x14ac:dyDescent="0.25">
      <c r="A45" s="96" t="s">
        <v>80</v>
      </c>
      <c r="B45" s="97">
        <v>1574</v>
      </c>
      <c r="C45" s="98">
        <v>301</v>
      </c>
      <c r="D45" s="99">
        <v>222</v>
      </c>
      <c r="E45" s="99">
        <v>324</v>
      </c>
      <c r="F45" s="99">
        <v>732</v>
      </c>
      <c r="G45" s="100" t="s">
        <v>97</v>
      </c>
    </row>
    <row r="46" spans="1:7" x14ac:dyDescent="0.25">
      <c r="A46" s="96" t="s">
        <v>168</v>
      </c>
      <c r="B46" s="97">
        <v>4719</v>
      </c>
      <c r="C46" s="98">
        <v>1482</v>
      </c>
      <c r="D46" s="99">
        <v>566</v>
      </c>
      <c r="E46" s="99">
        <v>856</v>
      </c>
      <c r="F46" s="99">
        <v>1799</v>
      </c>
      <c r="G46" s="100">
        <v>44</v>
      </c>
    </row>
    <row r="47" spans="1:7" x14ac:dyDescent="0.25">
      <c r="A47" s="96" t="s">
        <v>83</v>
      </c>
      <c r="B47" s="97">
        <v>1281</v>
      </c>
      <c r="C47" s="98">
        <v>411</v>
      </c>
      <c r="D47" s="99">
        <v>243</v>
      </c>
      <c r="E47" s="99">
        <v>211</v>
      </c>
      <c r="F47" s="99">
        <v>415</v>
      </c>
      <c r="G47" s="100">
        <v>8</v>
      </c>
    </row>
    <row r="48" spans="1:7" x14ac:dyDescent="0.25">
      <c r="A48" s="96" t="s">
        <v>84</v>
      </c>
      <c r="B48" s="97">
        <v>8582</v>
      </c>
      <c r="C48" s="98">
        <v>2827</v>
      </c>
      <c r="D48" s="99">
        <v>2932</v>
      </c>
      <c r="E48" s="99">
        <v>958</v>
      </c>
      <c r="F48" s="99">
        <v>1928</v>
      </c>
      <c r="G48" s="100">
        <v>55</v>
      </c>
    </row>
    <row r="49" spans="1:7" x14ac:dyDescent="0.25">
      <c r="A49" s="96" t="s">
        <v>169</v>
      </c>
      <c r="B49" s="97">
        <v>23018</v>
      </c>
      <c r="C49" s="98">
        <v>3858</v>
      </c>
      <c r="D49" s="99">
        <v>2827</v>
      </c>
      <c r="E49" s="99">
        <v>2886</v>
      </c>
      <c r="F49" s="99">
        <v>13405</v>
      </c>
      <c r="G49" s="100">
        <v>222</v>
      </c>
    </row>
    <row r="50" spans="1:7" x14ac:dyDescent="0.25">
      <c r="A50" s="96" t="s">
        <v>170</v>
      </c>
      <c r="B50" s="97">
        <v>4531</v>
      </c>
      <c r="C50" s="98">
        <v>375</v>
      </c>
      <c r="D50" s="99">
        <v>53</v>
      </c>
      <c r="E50" s="99">
        <v>2421</v>
      </c>
      <c r="F50" s="99">
        <v>1690</v>
      </c>
      <c r="G50" s="100">
        <v>1</v>
      </c>
    </row>
    <row r="51" spans="1:7" x14ac:dyDescent="0.25">
      <c r="A51" s="96" t="s">
        <v>89</v>
      </c>
      <c r="B51" s="97">
        <v>771</v>
      </c>
      <c r="C51" s="98">
        <v>115</v>
      </c>
      <c r="D51" s="99">
        <v>148</v>
      </c>
      <c r="E51" s="99">
        <v>243</v>
      </c>
      <c r="F51" s="99">
        <v>276</v>
      </c>
      <c r="G51" s="100">
        <v>2</v>
      </c>
    </row>
    <row r="52" spans="1:7" x14ac:dyDescent="0.25">
      <c r="A52" s="96" t="s">
        <v>90</v>
      </c>
      <c r="B52" s="97">
        <v>50</v>
      </c>
      <c r="C52" s="98">
        <v>18</v>
      </c>
      <c r="D52" s="99">
        <v>6</v>
      </c>
      <c r="E52" s="99">
        <v>15</v>
      </c>
      <c r="F52" s="99">
        <v>11</v>
      </c>
      <c r="G52" s="100" t="s">
        <v>97</v>
      </c>
    </row>
    <row r="53" spans="1:7" x14ac:dyDescent="0.25">
      <c r="A53" s="96" t="s">
        <v>91</v>
      </c>
      <c r="B53" s="97">
        <v>9416</v>
      </c>
      <c r="C53" s="98">
        <v>1932</v>
      </c>
      <c r="D53" s="99">
        <v>1475</v>
      </c>
      <c r="E53" s="99">
        <v>3186</v>
      </c>
      <c r="F53" s="99">
        <v>2777</v>
      </c>
      <c r="G53" s="100">
        <v>102</v>
      </c>
    </row>
    <row r="54" spans="1:7" x14ac:dyDescent="0.25">
      <c r="A54" s="96" t="s">
        <v>92</v>
      </c>
      <c r="B54" s="97">
        <v>8133</v>
      </c>
      <c r="C54" s="98">
        <v>1936</v>
      </c>
      <c r="D54" s="99">
        <v>205</v>
      </c>
      <c r="E54" s="99">
        <v>2666</v>
      </c>
      <c r="F54" s="99">
        <v>3333</v>
      </c>
      <c r="G54" s="100">
        <v>28</v>
      </c>
    </row>
    <row r="55" spans="1:7" x14ac:dyDescent="0.25">
      <c r="A55" s="96" t="s">
        <v>93</v>
      </c>
      <c r="B55" s="97">
        <v>1724</v>
      </c>
      <c r="C55" s="98">
        <v>781</v>
      </c>
      <c r="D55" s="99">
        <v>303</v>
      </c>
      <c r="E55" s="99">
        <v>146</v>
      </c>
      <c r="F55" s="99">
        <v>494</v>
      </c>
      <c r="G55" s="100">
        <v>8</v>
      </c>
    </row>
    <row r="56" spans="1:7" x14ac:dyDescent="0.25">
      <c r="A56" s="96" t="s">
        <v>94</v>
      </c>
      <c r="B56" s="97">
        <v>7675</v>
      </c>
      <c r="C56" s="98">
        <v>1786</v>
      </c>
      <c r="D56" s="99">
        <v>469</v>
      </c>
      <c r="E56" s="99">
        <v>2036</v>
      </c>
      <c r="F56" s="99">
        <v>3382</v>
      </c>
      <c r="G56" s="100">
        <v>45</v>
      </c>
    </row>
    <row r="57" spans="1:7" x14ac:dyDescent="0.25">
      <c r="A57" s="96" t="s">
        <v>95</v>
      </c>
      <c r="B57" s="97">
        <v>859</v>
      </c>
      <c r="C57" s="98">
        <v>149</v>
      </c>
      <c r="D57" s="99">
        <v>216</v>
      </c>
      <c r="E57" s="99">
        <v>224</v>
      </c>
      <c r="F57" s="99">
        <v>276</v>
      </c>
      <c r="G57" s="100">
        <v>2</v>
      </c>
    </row>
    <row r="58" spans="1:7" ht="19.5" thickBot="1" x14ac:dyDescent="0.3">
      <c r="A58" s="101" t="s">
        <v>96</v>
      </c>
      <c r="B58" s="102">
        <v>351542</v>
      </c>
      <c r="C58" s="103">
        <v>69273</v>
      </c>
      <c r="D58" s="104">
        <v>42768</v>
      </c>
      <c r="E58" s="104">
        <v>65554</v>
      </c>
      <c r="F58" s="104">
        <v>174566</v>
      </c>
      <c r="G58" s="105">
        <v>1986</v>
      </c>
    </row>
    <row r="59" spans="1:7" x14ac:dyDescent="0.25">
      <c r="A59" s="106"/>
      <c r="B59" s="107"/>
      <c r="C59" s="106"/>
      <c r="D59" s="106"/>
      <c r="E59" s="106"/>
      <c r="F59" s="106"/>
      <c r="G59" s="106"/>
    </row>
    <row r="60" spans="1:7" x14ac:dyDescent="0.25">
      <c r="A60" s="151" t="s">
        <v>98</v>
      </c>
      <c r="B60" s="151"/>
      <c r="C60" s="151"/>
      <c r="D60" s="151"/>
      <c r="E60" s="151"/>
      <c r="F60" s="151"/>
      <c r="G60" s="151"/>
    </row>
    <row r="61" spans="1:7" x14ac:dyDescent="0.25">
      <c r="A61" s="106" t="s">
        <v>171</v>
      </c>
      <c r="B61" s="107"/>
      <c r="C61" s="106"/>
      <c r="D61" s="106"/>
      <c r="E61" s="106"/>
      <c r="F61" s="106"/>
      <c r="G61" s="106"/>
    </row>
    <row r="62" spans="1:7" x14ac:dyDescent="0.25">
      <c r="A62" s="108" t="s">
        <v>172</v>
      </c>
      <c r="B62" s="107"/>
      <c r="C62" s="106"/>
      <c r="D62" s="106"/>
      <c r="E62" s="106"/>
      <c r="F62" s="106"/>
      <c r="G62" s="106"/>
    </row>
    <row r="63" spans="1:7" x14ac:dyDescent="0.25">
      <c r="A63" s="108" t="s">
        <v>173</v>
      </c>
      <c r="B63" s="107"/>
      <c r="C63" s="106"/>
      <c r="D63" s="106"/>
      <c r="E63" s="106"/>
      <c r="F63" s="106"/>
      <c r="G63" s="106"/>
    </row>
    <row r="64" spans="1:7" x14ac:dyDescent="0.25">
      <c r="A64" s="108" t="s">
        <v>174</v>
      </c>
      <c r="B64" s="107"/>
      <c r="C64" s="106"/>
      <c r="D64" s="106"/>
      <c r="E64" s="106"/>
      <c r="F64" s="106"/>
      <c r="G64" s="106"/>
    </row>
    <row r="65" spans="1:39" x14ac:dyDescent="0.25">
      <c r="A65" s="108" t="s">
        <v>175</v>
      </c>
      <c r="B65" s="107"/>
      <c r="C65" s="106"/>
      <c r="D65" s="106"/>
      <c r="E65" s="106"/>
      <c r="F65" s="106"/>
      <c r="G65" s="106"/>
    </row>
    <row r="66" spans="1:39" x14ac:dyDescent="0.25">
      <c r="A66" s="108" t="s">
        <v>176</v>
      </c>
      <c r="B66" s="107"/>
      <c r="C66" s="106"/>
      <c r="D66" s="106"/>
      <c r="E66" s="106"/>
      <c r="F66" s="106"/>
      <c r="G66" s="106"/>
    </row>
    <row r="68" spans="1:39" ht="53.25" thickBot="1" x14ac:dyDescent="0.3">
      <c r="I68" s="135" t="s">
        <v>177</v>
      </c>
      <c r="J68" s="136" t="s">
        <v>159</v>
      </c>
      <c r="K68" s="136" t="s">
        <v>159</v>
      </c>
      <c r="L68" s="136" t="s">
        <v>159</v>
      </c>
      <c r="M68" s="137" t="s">
        <v>164</v>
      </c>
      <c r="N68" s="137" t="s">
        <v>164</v>
      </c>
      <c r="O68" s="137" t="s">
        <v>164</v>
      </c>
      <c r="P68" s="137" t="s">
        <v>160</v>
      </c>
      <c r="Q68" s="137" t="s">
        <v>160</v>
      </c>
      <c r="R68" s="137" t="s">
        <v>160</v>
      </c>
      <c r="S68" s="137" t="s">
        <v>161</v>
      </c>
      <c r="T68" s="137" t="s">
        <v>161</v>
      </c>
      <c r="U68" s="137" t="s">
        <v>161</v>
      </c>
      <c r="V68" s="137" t="s">
        <v>178</v>
      </c>
      <c r="W68" s="137" t="s">
        <v>178</v>
      </c>
      <c r="X68" s="137" t="s">
        <v>178</v>
      </c>
      <c r="Y68" s="137" t="s">
        <v>162</v>
      </c>
      <c r="Z68" s="137" t="s">
        <v>162</v>
      </c>
      <c r="AA68" s="137" t="s">
        <v>162</v>
      </c>
      <c r="AB68" s="137" t="s">
        <v>163</v>
      </c>
      <c r="AC68" s="137" t="s">
        <v>163</v>
      </c>
      <c r="AD68" s="137" t="s">
        <v>163</v>
      </c>
      <c r="AE68" s="137" t="s">
        <v>179</v>
      </c>
      <c r="AF68" s="137" t="s">
        <v>179</v>
      </c>
      <c r="AG68" s="137" t="s">
        <v>179</v>
      </c>
      <c r="AH68" s="137" t="s">
        <v>180</v>
      </c>
      <c r="AI68" s="137" t="s">
        <v>180</v>
      </c>
      <c r="AJ68" s="137" t="s">
        <v>180</v>
      </c>
      <c r="AK68" s="137" t="s">
        <v>181</v>
      </c>
      <c r="AL68" s="137" t="s">
        <v>181</v>
      </c>
      <c r="AM68" s="137" t="s">
        <v>181</v>
      </c>
    </row>
    <row r="69" spans="1:39" ht="42" x14ac:dyDescent="0.25">
      <c r="I69" s="138" t="s">
        <v>182</v>
      </c>
      <c r="J69" s="136" t="s">
        <v>183</v>
      </c>
      <c r="K69" s="136" t="s">
        <v>184</v>
      </c>
      <c r="L69" s="136" t="s">
        <v>185</v>
      </c>
      <c r="M69" s="137" t="s">
        <v>183</v>
      </c>
      <c r="N69" s="137" t="s">
        <v>184</v>
      </c>
      <c r="O69" s="137" t="s">
        <v>185</v>
      </c>
      <c r="P69" s="137" t="s">
        <v>183</v>
      </c>
      <c r="Q69" s="137" t="s">
        <v>184</v>
      </c>
      <c r="R69" s="137" t="s">
        <v>185</v>
      </c>
      <c r="S69" s="137" t="s">
        <v>183</v>
      </c>
      <c r="T69" s="137" t="s">
        <v>184</v>
      </c>
      <c r="U69" s="137" t="s">
        <v>185</v>
      </c>
      <c r="V69" s="137" t="s">
        <v>183</v>
      </c>
      <c r="W69" s="137" t="s">
        <v>184</v>
      </c>
      <c r="X69" s="137" t="s">
        <v>185</v>
      </c>
      <c r="Y69" s="137" t="s">
        <v>183</v>
      </c>
      <c r="Z69" s="137" t="s">
        <v>184</v>
      </c>
      <c r="AA69" s="137" t="s">
        <v>185</v>
      </c>
      <c r="AB69" s="137" t="s">
        <v>183</v>
      </c>
      <c r="AC69" s="137" t="s">
        <v>184</v>
      </c>
      <c r="AD69" s="137" t="s">
        <v>185</v>
      </c>
      <c r="AE69" s="137" t="s">
        <v>183</v>
      </c>
      <c r="AF69" s="137" t="s">
        <v>184</v>
      </c>
      <c r="AG69" s="137" t="s">
        <v>185</v>
      </c>
      <c r="AH69" s="137" t="s">
        <v>183</v>
      </c>
      <c r="AI69" s="137" t="s">
        <v>184</v>
      </c>
      <c r="AJ69" s="137" t="s">
        <v>185</v>
      </c>
      <c r="AK69" s="137" t="s">
        <v>183</v>
      </c>
      <c r="AL69" s="137" t="s">
        <v>184</v>
      </c>
      <c r="AM69" s="137" t="s">
        <v>185</v>
      </c>
    </row>
    <row r="70" spans="1:39" x14ac:dyDescent="0.25">
      <c r="I70" s="115" t="s">
        <v>159</v>
      </c>
      <c r="J70" s="114">
        <v>353977</v>
      </c>
      <c r="K70" s="114">
        <v>351542</v>
      </c>
      <c r="L70" s="116">
        <v>-6.8789780126957403E-3</v>
      </c>
      <c r="M70" s="114">
        <v>2035</v>
      </c>
      <c r="N70" s="114">
        <v>1986</v>
      </c>
      <c r="O70" s="116">
        <v>-2.4078624078624079E-2</v>
      </c>
      <c r="P70" s="114">
        <v>71890</v>
      </c>
      <c r="Q70" s="114">
        <v>69273</v>
      </c>
      <c r="R70" s="116">
        <v>-3.6402837668660447E-2</v>
      </c>
      <c r="S70" s="114">
        <v>46689</v>
      </c>
      <c r="T70" s="114">
        <v>42758</v>
      </c>
      <c r="U70" s="116">
        <v>-8.4195420762920609E-2</v>
      </c>
      <c r="V70" s="114">
        <v>9</v>
      </c>
      <c r="W70" s="114">
        <v>10</v>
      </c>
      <c r="X70" s="116">
        <v>0.1111111111111111</v>
      </c>
      <c r="Y70" s="114">
        <v>64533</v>
      </c>
      <c r="Z70" s="114">
        <v>64572</v>
      </c>
      <c r="AA70" s="116">
        <v>6.0434196457626326E-4</v>
      </c>
      <c r="AB70" s="114">
        <v>172680</v>
      </c>
      <c r="AC70" s="114">
        <v>174546</v>
      </c>
      <c r="AD70" s="116">
        <v>1.0806115357887419E-2</v>
      </c>
      <c r="AE70" s="114">
        <v>19</v>
      </c>
      <c r="AF70" s="114">
        <v>20</v>
      </c>
      <c r="AG70" s="116">
        <v>5.2631578947368418E-2</v>
      </c>
      <c r="AH70" s="114">
        <v>2</v>
      </c>
      <c r="AI70" s="114">
        <v>2</v>
      </c>
      <c r="AJ70" s="116">
        <v>0</v>
      </c>
      <c r="AK70" s="114">
        <v>990</v>
      </c>
      <c r="AL70" s="114">
        <v>982</v>
      </c>
      <c r="AM70" s="116">
        <v>-8.0808080808080808E-3</v>
      </c>
    </row>
    <row r="71" spans="1:39" x14ac:dyDescent="0.25">
      <c r="I71" s="130" t="s">
        <v>97</v>
      </c>
      <c r="J71" s="114">
        <v>187</v>
      </c>
      <c r="K71" s="114">
        <v>236</v>
      </c>
      <c r="L71" s="116">
        <v>0.26203208556149732</v>
      </c>
      <c r="M71" s="139" t="s">
        <v>97</v>
      </c>
      <c r="N71" s="139" t="s">
        <v>97</v>
      </c>
      <c r="O71" s="139" t="s">
        <v>97</v>
      </c>
      <c r="P71" s="129">
        <v>5</v>
      </c>
      <c r="Q71" s="129">
        <v>2</v>
      </c>
      <c r="R71" s="131">
        <v>-0.6</v>
      </c>
      <c r="S71" s="129">
        <v>2</v>
      </c>
      <c r="T71" s="129">
        <v>2</v>
      </c>
      <c r="U71" s="131">
        <v>0</v>
      </c>
      <c r="V71" s="139" t="s">
        <v>97</v>
      </c>
      <c r="W71" s="139" t="s">
        <v>97</v>
      </c>
      <c r="X71" s="139" t="s">
        <v>97</v>
      </c>
      <c r="Y71" s="129">
        <v>3</v>
      </c>
      <c r="Z71" s="129">
        <v>7</v>
      </c>
      <c r="AA71" s="131">
        <v>1.333333333333333</v>
      </c>
      <c r="AB71" s="129">
        <v>177</v>
      </c>
      <c r="AC71" s="129">
        <v>225</v>
      </c>
      <c r="AD71" s="131">
        <v>0.2711864406779661</v>
      </c>
      <c r="AE71" s="139" t="s">
        <v>97</v>
      </c>
      <c r="AF71" s="139" t="s">
        <v>97</v>
      </c>
      <c r="AG71" s="139" t="s">
        <v>97</v>
      </c>
      <c r="AH71" s="139" t="s">
        <v>97</v>
      </c>
      <c r="AI71" s="139" t="s">
        <v>97</v>
      </c>
      <c r="AJ71" s="139" t="s">
        <v>97</v>
      </c>
      <c r="AK71" s="139" t="s">
        <v>97</v>
      </c>
      <c r="AL71" s="139" t="s">
        <v>97</v>
      </c>
      <c r="AM71" s="139" t="s">
        <v>97</v>
      </c>
    </row>
    <row r="72" spans="1:39" x14ac:dyDescent="0.25">
      <c r="I72" s="130" t="s">
        <v>35</v>
      </c>
      <c r="J72" s="114">
        <v>6379</v>
      </c>
      <c r="K72" s="114">
        <v>6374</v>
      </c>
      <c r="L72" s="116">
        <v>-7.8382191566076192E-4</v>
      </c>
      <c r="M72" s="129">
        <v>101</v>
      </c>
      <c r="N72" s="129">
        <v>106</v>
      </c>
      <c r="O72" s="131">
        <v>4.9504950495049507E-2</v>
      </c>
      <c r="P72" s="129">
        <v>1966</v>
      </c>
      <c r="Q72" s="129">
        <v>1982</v>
      </c>
      <c r="R72" s="131">
        <v>8.1383519837232958E-3</v>
      </c>
      <c r="S72" s="129">
        <v>1985</v>
      </c>
      <c r="T72" s="129">
        <v>1629</v>
      </c>
      <c r="U72" s="131">
        <v>-0.17934508816120909</v>
      </c>
      <c r="V72" s="139" t="s">
        <v>97</v>
      </c>
      <c r="W72" s="139" t="s">
        <v>97</v>
      </c>
      <c r="X72" s="139" t="s">
        <v>97</v>
      </c>
      <c r="Y72" s="129">
        <v>1068</v>
      </c>
      <c r="Z72" s="129">
        <v>1095</v>
      </c>
      <c r="AA72" s="131">
        <v>2.528089887640449E-2</v>
      </c>
      <c r="AB72" s="129">
        <v>1326</v>
      </c>
      <c r="AC72" s="129">
        <v>1598</v>
      </c>
      <c r="AD72" s="131">
        <v>0.20512820512820509</v>
      </c>
      <c r="AE72" s="139" t="s">
        <v>97</v>
      </c>
      <c r="AF72" s="139" t="s">
        <v>97</v>
      </c>
      <c r="AG72" s="139" t="s">
        <v>97</v>
      </c>
      <c r="AH72" s="129">
        <v>2</v>
      </c>
      <c r="AI72" s="129">
        <v>2</v>
      </c>
      <c r="AJ72" s="131">
        <v>0</v>
      </c>
      <c r="AK72" s="129">
        <v>9</v>
      </c>
      <c r="AL72" s="129">
        <v>11</v>
      </c>
      <c r="AM72" s="131">
        <v>0.22222222222222221</v>
      </c>
    </row>
    <row r="73" spans="1:39" x14ac:dyDescent="0.25">
      <c r="I73" s="130" t="s">
        <v>36</v>
      </c>
      <c r="J73" s="114">
        <v>697</v>
      </c>
      <c r="K73" s="114">
        <v>721</v>
      </c>
      <c r="L73" s="116">
        <v>3.443328550932568E-2</v>
      </c>
      <c r="M73" s="139" t="s">
        <v>97</v>
      </c>
      <c r="N73" s="139" t="s">
        <v>97</v>
      </c>
      <c r="O73" s="139" t="s">
        <v>97</v>
      </c>
      <c r="P73" s="129">
        <v>172</v>
      </c>
      <c r="Q73" s="129">
        <v>172</v>
      </c>
      <c r="R73" s="131">
        <v>0</v>
      </c>
      <c r="S73" s="129">
        <v>18</v>
      </c>
      <c r="T73" s="129">
        <v>14</v>
      </c>
      <c r="U73" s="131">
        <v>-0.22222222222222221</v>
      </c>
      <c r="V73" s="139" t="s">
        <v>97</v>
      </c>
      <c r="W73" s="139" t="s">
        <v>97</v>
      </c>
      <c r="X73" s="139" t="s">
        <v>97</v>
      </c>
      <c r="Y73" s="129">
        <v>138</v>
      </c>
      <c r="Z73" s="129">
        <v>141</v>
      </c>
      <c r="AA73" s="131">
        <v>2.1739130434782612E-2</v>
      </c>
      <c r="AB73" s="129">
        <v>371</v>
      </c>
      <c r="AC73" s="129">
        <v>396</v>
      </c>
      <c r="AD73" s="131">
        <v>6.7385444743935305E-2</v>
      </c>
      <c r="AE73" s="139" t="s">
        <v>97</v>
      </c>
      <c r="AF73" s="139" t="s">
        <v>97</v>
      </c>
      <c r="AG73" s="139" t="s">
        <v>97</v>
      </c>
      <c r="AH73" s="139" t="s">
        <v>97</v>
      </c>
      <c r="AI73" s="139" t="s">
        <v>97</v>
      </c>
      <c r="AJ73" s="139" t="s">
        <v>97</v>
      </c>
      <c r="AK73" s="139" t="s">
        <v>97</v>
      </c>
      <c r="AL73" s="139" t="s">
        <v>97</v>
      </c>
      <c r="AM73" s="139" t="s">
        <v>97</v>
      </c>
    </row>
    <row r="74" spans="1:39" x14ac:dyDescent="0.25">
      <c r="I74" s="130" t="s">
        <v>37</v>
      </c>
      <c r="J74" s="114">
        <v>7452</v>
      </c>
      <c r="K74" s="114">
        <v>6839</v>
      </c>
      <c r="L74" s="116">
        <v>-8.2259796027911974E-2</v>
      </c>
      <c r="M74" s="129">
        <v>0</v>
      </c>
      <c r="N74" s="129">
        <v>1</v>
      </c>
      <c r="O74" s="131" t="s">
        <v>97</v>
      </c>
      <c r="P74" s="129">
        <v>904</v>
      </c>
      <c r="Q74" s="129">
        <v>297</v>
      </c>
      <c r="R74" s="131">
        <v>-0.67146017699115046</v>
      </c>
      <c r="S74" s="129">
        <v>344</v>
      </c>
      <c r="T74" s="129">
        <v>299</v>
      </c>
      <c r="U74" s="131">
        <v>-0.1308139534883721</v>
      </c>
      <c r="V74" s="139" t="s">
        <v>97</v>
      </c>
      <c r="W74" s="139" t="s">
        <v>97</v>
      </c>
      <c r="X74" s="139" t="s">
        <v>97</v>
      </c>
      <c r="Y74" s="129">
        <v>1470</v>
      </c>
      <c r="Z74" s="129">
        <v>1526</v>
      </c>
      <c r="AA74" s="131">
        <v>3.8095238095238099E-2</v>
      </c>
      <c r="AB74" s="129">
        <v>5220</v>
      </c>
      <c r="AC74" s="129">
        <v>4700</v>
      </c>
      <c r="AD74" s="131">
        <v>-9.9616858237547887E-2</v>
      </c>
      <c r="AE74" s="139" t="s">
        <v>97</v>
      </c>
      <c r="AF74" s="139" t="s">
        <v>97</v>
      </c>
      <c r="AG74" s="139" t="s">
        <v>97</v>
      </c>
      <c r="AH74" s="139" t="s">
        <v>97</v>
      </c>
      <c r="AI74" s="139" t="s">
        <v>97</v>
      </c>
      <c r="AJ74" s="139" t="s">
        <v>97</v>
      </c>
      <c r="AK74" s="129">
        <v>31</v>
      </c>
      <c r="AL74" s="129">
        <v>33</v>
      </c>
      <c r="AM74" s="131">
        <v>6.4516129032258063E-2</v>
      </c>
    </row>
    <row r="75" spans="1:39" x14ac:dyDescent="0.25">
      <c r="I75" s="130" t="s">
        <v>39</v>
      </c>
      <c r="J75" s="114">
        <v>4327</v>
      </c>
      <c r="K75" s="114">
        <v>4297</v>
      </c>
      <c r="L75" s="116">
        <v>-6.9332100762653096E-3</v>
      </c>
      <c r="M75" s="129">
        <v>82</v>
      </c>
      <c r="N75" s="129">
        <v>57</v>
      </c>
      <c r="O75" s="131">
        <v>-0.3048780487804878</v>
      </c>
      <c r="P75" s="129">
        <v>901</v>
      </c>
      <c r="Q75" s="129">
        <v>903</v>
      </c>
      <c r="R75" s="131">
        <v>2.219755826859046E-3</v>
      </c>
      <c r="S75" s="129">
        <v>2621</v>
      </c>
      <c r="T75" s="129">
        <v>2449</v>
      </c>
      <c r="U75" s="131">
        <v>-6.5623807706982062E-2</v>
      </c>
      <c r="V75" s="139" t="s">
        <v>97</v>
      </c>
      <c r="W75" s="139" t="s">
        <v>97</v>
      </c>
      <c r="X75" s="139" t="s">
        <v>97</v>
      </c>
      <c r="Y75" s="129">
        <v>323</v>
      </c>
      <c r="Z75" s="129">
        <v>350</v>
      </c>
      <c r="AA75" s="131">
        <v>8.3591331269349839E-2</v>
      </c>
      <c r="AB75" s="129">
        <v>436</v>
      </c>
      <c r="AC75" s="129">
        <v>568</v>
      </c>
      <c r="AD75" s="131">
        <v>0.30275229357798172</v>
      </c>
      <c r="AE75" s="139" t="s">
        <v>97</v>
      </c>
      <c r="AF75" s="139" t="s">
        <v>97</v>
      </c>
      <c r="AG75" s="139" t="s">
        <v>97</v>
      </c>
      <c r="AH75" s="139" t="s">
        <v>97</v>
      </c>
      <c r="AI75" s="139" t="s">
        <v>97</v>
      </c>
      <c r="AJ75" s="139" t="s">
        <v>97</v>
      </c>
      <c r="AK75" s="139" t="s">
        <v>97</v>
      </c>
      <c r="AL75" s="139" t="s">
        <v>97</v>
      </c>
      <c r="AM75" s="139" t="s">
        <v>97</v>
      </c>
    </row>
    <row r="76" spans="1:39" x14ac:dyDescent="0.25">
      <c r="I76" s="130" t="s">
        <v>165</v>
      </c>
      <c r="J76" s="114">
        <v>30619</v>
      </c>
      <c r="K76" s="114">
        <v>30653</v>
      </c>
      <c r="L76" s="116">
        <v>1.1104216336261801E-3</v>
      </c>
      <c r="M76" s="129">
        <v>2</v>
      </c>
      <c r="N76" s="129">
        <v>4</v>
      </c>
      <c r="O76" s="131">
        <v>1</v>
      </c>
      <c r="P76" s="129">
        <v>2092</v>
      </c>
      <c r="Q76" s="129">
        <v>1997</v>
      </c>
      <c r="R76" s="131">
        <v>-4.5411089866156787E-2</v>
      </c>
      <c r="S76" s="129">
        <v>1595</v>
      </c>
      <c r="T76" s="129">
        <v>1316</v>
      </c>
      <c r="U76" s="131">
        <v>-0.17492163009404391</v>
      </c>
      <c r="V76" s="129">
        <v>3</v>
      </c>
      <c r="W76" s="129">
        <v>5</v>
      </c>
      <c r="X76" s="131">
        <v>0.66666666666666663</v>
      </c>
      <c r="Y76" s="129">
        <v>5379</v>
      </c>
      <c r="Z76" s="129">
        <v>5514</v>
      </c>
      <c r="AA76" s="131">
        <v>2.509760178471835E-2</v>
      </c>
      <c r="AB76" s="129">
        <v>21772</v>
      </c>
      <c r="AC76" s="129">
        <v>21846</v>
      </c>
      <c r="AD76" s="131">
        <v>3.3988609222855041E-3</v>
      </c>
      <c r="AE76" s="139" t="s">
        <v>97</v>
      </c>
      <c r="AF76" s="139" t="s">
        <v>97</v>
      </c>
      <c r="AG76" s="139" t="s">
        <v>97</v>
      </c>
      <c r="AH76" s="139" t="s">
        <v>97</v>
      </c>
      <c r="AI76" s="139" t="s">
        <v>97</v>
      </c>
      <c r="AJ76" s="139" t="s">
        <v>97</v>
      </c>
      <c r="AK76" s="129">
        <v>75</v>
      </c>
      <c r="AL76" s="129">
        <v>72</v>
      </c>
      <c r="AM76" s="131">
        <v>-0.04</v>
      </c>
    </row>
    <row r="77" spans="1:39" x14ac:dyDescent="0.25">
      <c r="I77" s="130" t="s">
        <v>42</v>
      </c>
      <c r="J77" s="114">
        <v>7072</v>
      </c>
      <c r="K77" s="114">
        <v>7255</v>
      </c>
      <c r="L77" s="116">
        <v>2.587669683257918E-2</v>
      </c>
      <c r="M77" s="129">
        <v>5</v>
      </c>
      <c r="N77" s="129">
        <v>6</v>
      </c>
      <c r="O77" s="131">
        <v>0.2</v>
      </c>
      <c r="P77" s="129">
        <v>1038</v>
      </c>
      <c r="Q77" s="129">
        <v>1027</v>
      </c>
      <c r="R77" s="131">
        <v>-1.059730250481696E-2</v>
      </c>
      <c r="S77" s="129">
        <v>887</v>
      </c>
      <c r="T77" s="129">
        <v>896</v>
      </c>
      <c r="U77" s="131">
        <v>1.0146561443066519E-2</v>
      </c>
      <c r="V77" s="139" t="s">
        <v>97</v>
      </c>
      <c r="W77" s="139" t="s">
        <v>97</v>
      </c>
      <c r="X77" s="139" t="s">
        <v>97</v>
      </c>
      <c r="Y77" s="129">
        <v>1587</v>
      </c>
      <c r="Z77" s="129">
        <v>1858</v>
      </c>
      <c r="AA77" s="131">
        <v>0.1707624448645243</v>
      </c>
      <c r="AB77" s="129">
        <v>3627</v>
      </c>
      <c r="AC77" s="129">
        <v>3590</v>
      </c>
      <c r="AD77" s="131">
        <v>-1.0201268265784399E-2</v>
      </c>
      <c r="AE77" s="139" t="s">
        <v>97</v>
      </c>
      <c r="AF77" s="139" t="s">
        <v>97</v>
      </c>
      <c r="AG77" s="139" t="s">
        <v>97</v>
      </c>
      <c r="AH77" s="139" t="s">
        <v>97</v>
      </c>
      <c r="AI77" s="139" t="s">
        <v>97</v>
      </c>
      <c r="AJ77" s="139" t="s">
        <v>97</v>
      </c>
      <c r="AK77" s="139" t="s">
        <v>97</v>
      </c>
      <c r="AL77" s="139" t="s">
        <v>97</v>
      </c>
      <c r="AM77" s="139" t="s">
        <v>97</v>
      </c>
    </row>
    <row r="78" spans="1:39" x14ac:dyDescent="0.25">
      <c r="I78" s="130" t="s">
        <v>44</v>
      </c>
      <c r="J78" s="114">
        <v>5219</v>
      </c>
      <c r="K78" s="114">
        <v>5039</v>
      </c>
      <c r="L78" s="116">
        <v>-3.4489365778884853E-2</v>
      </c>
      <c r="M78" s="129">
        <v>6</v>
      </c>
      <c r="N78" s="129">
        <v>7</v>
      </c>
      <c r="O78" s="131">
        <v>0.16666666666666671</v>
      </c>
      <c r="P78" s="129">
        <v>977</v>
      </c>
      <c r="Q78" s="129">
        <v>947</v>
      </c>
      <c r="R78" s="131">
        <v>-3.0706243602865911E-2</v>
      </c>
      <c r="S78" s="129">
        <v>850</v>
      </c>
      <c r="T78" s="129">
        <v>828</v>
      </c>
      <c r="U78" s="131">
        <v>-2.5882352941176471E-2</v>
      </c>
      <c r="V78" s="139" t="s">
        <v>97</v>
      </c>
      <c r="W78" s="139" t="s">
        <v>97</v>
      </c>
      <c r="X78" s="139" t="s">
        <v>97</v>
      </c>
      <c r="Y78" s="129">
        <v>557</v>
      </c>
      <c r="Z78" s="129">
        <v>547</v>
      </c>
      <c r="AA78" s="131">
        <v>-1.7953321364452421E-2</v>
      </c>
      <c r="AB78" s="129">
        <v>2905</v>
      </c>
      <c r="AC78" s="129">
        <v>2745</v>
      </c>
      <c r="AD78" s="131">
        <v>-5.5077452667814122E-2</v>
      </c>
      <c r="AE78" s="139" t="s">
        <v>97</v>
      </c>
      <c r="AF78" s="139" t="s">
        <v>97</v>
      </c>
      <c r="AG78" s="139" t="s">
        <v>97</v>
      </c>
      <c r="AH78" s="139" t="s">
        <v>97</v>
      </c>
      <c r="AI78" s="139" t="s">
        <v>97</v>
      </c>
      <c r="AJ78" s="139" t="s">
        <v>97</v>
      </c>
      <c r="AK78" s="139" t="s">
        <v>97</v>
      </c>
      <c r="AL78" s="139" t="s">
        <v>97</v>
      </c>
      <c r="AM78" s="139" t="s">
        <v>97</v>
      </c>
    </row>
    <row r="79" spans="1:39" x14ac:dyDescent="0.25">
      <c r="I79" s="130" t="s">
        <v>45</v>
      </c>
      <c r="J79" s="114">
        <v>1445</v>
      </c>
      <c r="K79" s="114">
        <v>1423</v>
      </c>
      <c r="L79" s="116">
        <v>-1.5224913494809689E-2</v>
      </c>
      <c r="M79" s="129">
        <v>9</v>
      </c>
      <c r="N79" s="129">
        <v>8</v>
      </c>
      <c r="O79" s="131">
        <v>-0.1111111111111111</v>
      </c>
      <c r="P79" s="129">
        <v>95</v>
      </c>
      <c r="Q79" s="129">
        <v>92</v>
      </c>
      <c r="R79" s="131">
        <v>-3.1578947368421047E-2</v>
      </c>
      <c r="S79" s="129">
        <v>236</v>
      </c>
      <c r="T79" s="129">
        <v>223</v>
      </c>
      <c r="U79" s="131">
        <v>-5.5084745762711863E-2</v>
      </c>
      <c r="V79" s="139" t="s">
        <v>97</v>
      </c>
      <c r="W79" s="139" t="s">
        <v>97</v>
      </c>
      <c r="X79" s="139" t="s">
        <v>97</v>
      </c>
      <c r="Y79" s="129">
        <v>149</v>
      </c>
      <c r="Z79" s="129">
        <v>169</v>
      </c>
      <c r="AA79" s="131">
        <v>0.13422818791946309</v>
      </c>
      <c r="AB79" s="129">
        <v>961</v>
      </c>
      <c r="AC79" s="129">
        <v>933</v>
      </c>
      <c r="AD79" s="131">
        <v>-2.9136316337148801E-2</v>
      </c>
      <c r="AE79" s="139" t="s">
        <v>97</v>
      </c>
      <c r="AF79" s="139" t="s">
        <v>97</v>
      </c>
      <c r="AG79" s="139" t="s">
        <v>97</v>
      </c>
      <c r="AH79" s="139" t="s">
        <v>97</v>
      </c>
      <c r="AI79" s="139" t="s">
        <v>97</v>
      </c>
      <c r="AJ79" s="139" t="s">
        <v>97</v>
      </c>
      <c r="AK79" s="139" t="s">
        <v>97</v>
      </c>
      <c r="AL79" s="139" t="s">
        <v>97</v>
      </c>
      <c r="AM79" s="139" t="s">
        <v>97</v>
      </c>
    </row>
    <row r="80" spans="1:39" x14ac:dyDescent="0.25">
      <c r="I80" s="130" t="s">
        <v>46</v>
      </c>
      <c r="J80" s="114">
        <v>1027</v>
      </c>
      <c r="K80" s="114">
        <v>1032</v>
      </c>
      <c r="L80" s="116">
        <v>4.8685491723466411E-3</v>
      </c>
      <c r="M80" s="139" t="s">
        <v>97</v>
      </c>
      <c r="N80" s="139" t="s">
        <v>97</v>
      </c>
      <c r="O80" s="139" t="s">
        <v>97</v>
      </c>
      <c r="P80" s="129">
        <v>54</v>
      </c>
      <c r="Q80" s="129">
        <v>55</v>
      </c>
      <c r="R80" s="131">
        <v>1.8518518518518521E-2</v>
      </c>
      <c r="S80" s="129">
        <v>77</v>
      </c>
      <c r="T80" s="129">
        <v>80</v>
      </c>
      <c r="U80" s="131">
        <v>3.896103896103896E-2</v>
      </c>
      <c r="V80" s="139" t="s">
        <v>97</v>
      </c>
      <c r="W80" s="139" t="s">
        <v>97</v>
      </c>
      <c r="X80" s="139" t="s">
        <v>97</v>
      </c>
      <c r="Y80" s="129">
        <v>127</v>
      </c>
      <c r="Z80" s="129">
        <v>122</v>
      </c>
      <c r="AA80" s="131">
        <v>-3.937007874015748E-2</v>
      </c>
      <c r="AB80" s="129">
        <v>770</v>
      </c>
      <c r="AC80" s="129">
        <v>776</v>
      </c>
      <c r="AD80" s="131">
        <v>7.7922077922077922E-3</v>
      </c>
      <c r="AE80" s="139" t="s">
        <v>97</v>
      </c>
      <c r="AF80" s="139" t="s">
        <v>97</v>
      </c>
      <c r="AG80" s="139" t="s">
        <v>97</v>
      </c>
      <c r="AH80" s="139" t="s">
        <v>97</v>
      </c>
      <c r="AI80" s="139" t="s">
        <v>97</v>
      </c>
      <c r="AJ80" s="139" t="s">
        <v>97</v>
      </c>
      <c r="AK80" s="139" t="s">
        <v>97</v>
      </c>
      <c r="AL80" s="139" t="s">
        <v>97</v>
      </c>
      <c r="AM80" s="139" t="s">
        <v>97</v>
      </c>
    </row>
    <row r="81" spans="9:39" x14ac:dyDescent="0.25">
      <c r="I81" s="130" t="s">
        <v>47</v>
      </c>
      <c r="J81" s="114">
        <v>24651</v>
      </c>
      <c r="K81" s="114">
        <v>24795</v>
      </c>
      <c r="L81" s="116">
        <v>5.8415480102227092E-3</v>
      </c>
      <c r="M81" s="129">
        <v>45</v>
      </c>
      <c r="N81" s="129">
        <v>42</v>
      </c>
      <c r="O81" s="131">
        <v>-6.6666666666666666E-2</v>
      </c>
      <c r="P81" s="129">
        <v>3866</v>
      </c>
      <c r="Q81" s="129">
        <v>3710</v>
      </c>
      <c r="R81" s="131">
        <v>-4.035178479048112E-2</v>
      </c>
      <c r="S81" s="129">
        <v>2761</v>
      </c>
      <c r="T81" s="129">
        <v>2592</v>
      </c>
      <c r="U81" s="131">
        <v>-6.1209706628033322E-2</v>
      </c>
      <c r="V81" s="129">
        <v>3</v>
      </c>
      <c r="W81" s="129">
        <v>2</v>
      </c>
      <c r="X81" s="131">
        <v>-0.33333333333333331</v>
      </c>
      <c r="Y81" s="129">
        <v>4982</v>
      </c>
      <c r="Z81" s="129">
        <v>5082</v>
      </c>
      <c r="AA81" s="131">
        <v>2.0072260136491368E-2</v>
      </c>
      <c r="AB81" s="129">
        <v>13329</v>
      </c>
      <c r="AC81" s="129">
        <v>13531</v>
      </c>
      <c r="AD81" s="131">
        <v>1.515492535073899E-2</v>
      </c>
      <c r="AE81" s="139" t="s">
        <v>97</v>
      </c>
      <c r="AF81" s="139" t="s">
        <v>97</v>
      </c>
      <c r="AG81" s="139" t="s">
        <v>97</v>
      </c>
      <c r="AH81" s="139" t="s">
        <v>97</v>
      </c>
      <c r="AI81" s="139" t="s">
        <v>97</v>
      </c>
      <c r="AJ81" s="139" t="s">
        <v>97</v>
      </c>
      <c r="AK81" s="139" t="s">
        <v>97</v>
      </c>
      <c r="AL81" s="139" t="s">
        <v>97</v>
      </c>
      <c r="AM81" s="139" t="s">
        <v>97</v>
      </c>
    </row>
    <row r="82" spans="9:39" x14ac:dyDescent="0.25">
      <c r="I82" s="130" t="s">
        <v>48</v>
      </c>
      <c r="J82" s="114">
        <v>8990</v>
      </c>
      <c r="K82" s="114">
        <v>8856</v>
      </c>
      <c r="L82" s="116">
        <v>-1.490545050055617E-2</v>
      </c>
      <c r="M82" s="129">
        <v>87</v>
      </c>
      <c r="N82" s="129">
        <v>93</v>
      </c>
      <c r="O82" s="131">
        <v>6.8965517241379309E-2</v>
      </c>
      <c r="P82" s="129">
        <v>3073</v>
      </c>
      <c r="Q82" s="129">
        <v>3062</v>
      </c>
      <c r="R82" s="131">
        <v>-3.579563944028637E-3</v>
      </c>
      <c r="S82" s="129">
        <v>1752</v>
      </c>
      <c r="T82" s="129">
        <v>1408</v>
      </c>
      <c r="U82" s="131">
        <v>-0.19634703196347031</v>
      </c>
      <c r="V82" s="139" t="s">
        <v>97</v>
      </c>
      <c r="W82" s="139" t="s">
        <v>97</v>
      </c>
      <c r="X82" s="139" t="s">
        <v>97</v>
      </c>
      <c r="Y82" s="129">
        <v>848</v>
      </c>
      <c r="Z82" s="129">
        <v>878</v>
      </c>
      <c r="AA82" s="131">
        <v>3.5377358490566037E-2</v>
      </c>
      <c r="AB82" s="129">
        <v>3435</v>
      </c>
      <c r="AC82" s="129">
        <v>3485</v>
      </c>
      <c r="AD82" s="131">
        <v>1.4556040756914119E-2</v>
      </c>
      <c r="AE82" s="139" t="s">
        <v>97</v>
      </c>
      <c r="AF82" s="139" t="s">
        <v>97</v>
      </c>
      <c r="AG82" s="139" t="s">
        <v>97</v>
      </c>
      <c r="AH82" s="139" t="s">
        <v>97</v>
      </c>
      <c r="AI82" s="139" t="s">
        <v>97</v>
      </c>
      <c r="AJ82" s="139" t="s">
        <v>97</v>
      </c>
      <c r="AK82" s="129">
        <v>2</v>
      </c>
      <c r="AL82" s="129">
        <v>0</v>
      </c>
      <c r="AM82" s="131">
        <v>-1</v>
      </c>
    </row>
    <row r="83" spans="9:39" x14ac:dyDescent="0.25">
      <c r="I83" s="130" t="s">
        <v>49</v>
      </c>
      <c r="J83" s="114">
        <v>98</v>
      </c>
      <c r="K83" s="114">
        <v>89</v>
      </c>
      <c r="L83" s="116">
        <v>-9.1836734693877556E-2</v>
      </c>
      <c r="M83" s="139" t="s">
        <v>97</v>
      </c>
      <c r="N83" s="139" t="s">
        <v>97</v>
      </c>
      <c r="O83" s="139" t="s">
        <v>97</v>
      </c>
      <c r="P83" s="129">
        <v>48</v>
      </c>
      <c r="Q83" s="129">
        <v>42</v>
      </c>
      <c r="R83" s="131">
        <v>-0.125</v>
      </c>
      <c r="S83" s="129">
        <v>24</v>
      </c>
      <c r="T83" s="129">
        <v>21</v>
      </c>
      <c r="U83" s="131">
        <v>-0.125</v>
      </c>
      <c r="V83" s="139" t="s">
        <v>97</v>
      </c>
      <c r="W83" s="139" t="s">
        <v>97</v>
      </c>
      <c r="X83" s="139" t="s">
        <v>97</v>
      </c>
      <c r="Y83" s="129">
        <v>23</v>
      </c>
      <c r="Z83" s="129">
        <v>22</v>
      </c>
      <c r="AA83" s="131">
        <v>-4.3478260869565223E-2</v>
      </c>
      <c r="AB83" s="129">
        <v>3</v>
      </c>
      <c r="AC83" s="129">
        <v>4</v>
      </c>
      <c r="AD83" s="131">
        <v>0.33333333333333331</v>
      </c>
      <c r="AE83" s="139" t="s">
        <v>97</v>
      </c>
      <c r="AF83" s="139" t="s">
        <v>97</v>
      </c>
      <c r="AG83" s="139" t="s">
        <v>97</v>
      </c>
      <c r="AH83" s="139" t="s">
        <v>97</v>
      </c>
      <c r="AI83" s="139" t="s">
        <v>97</v>
      </c>
      <c r="AJ83" s="139" t="s">
        <v>97</v>
      </c>
      <c r="AK83" s="139" t="s">
        <v>97</v>
      </c>
      <c r="AL83" s="139" t="s">
        <v>97</v>
      </c>
      <c r="AM83" s="139" t="s">
        <v>97</v>
      </c>
    </row>
    <row r="84" spans="9:39" x14ac:dyDescent="0.25">
      <c r="I84" s="130" t="s">
        <v>50</v>
      </c>
      <c r="J84" s="114">
        <v>1699</v>
      </c>
      <c r="K84" s="114">
        <v>1616</v>
      </c>
      <c r="L84" s="116">
        <v>-4.8852266038846383E-2</v>
      </c>
      <c r="M84" s="139" t="s">
        <v>97</v>
      </c>
      <c r="N84" s="139" t="s">
        <v>97</v>
      </c>
      <c r="O84" s="139" t="s">
        <v>97</v>
      </c>
      <c r="P84" s="129">
        <v>217</v>
      </c>
      <c r="Q84" s="129">
        <v>196</v>
      </c>
      <c r="R84" s="131">
        <v>-9.6774193548387094E-2</v>
      </c>
      <c r="S84" s="129">
        <v>638</v>
      </c>
      <c r="T84" s="129">
        <v>574</v>
      </c>
      <c r="U84" s="131">
        <v>-0.10031347962382441</v>
      </c>
      <c r="V84" s="139" t="s">
        <v>97</v>
      </c>
      <c r="W84" s="139" t="s">
        <v>97</v>
      </c>
      <c r="X84" s="139" t="s">
        <v>97</v>
      </c>
      <c r="Y84" s="129">
        <v>520</v>
      </c>
      <c r="Z84" s="129">
        <v>508</v>
      </c>
      <c r="AA84" s="131">
        <v>-2.3076923076923082E-2</v>
      </c>
      <c r="AB84" s="129">
        <v>354</v>
      </c>
      <c r="AC84" s="129">
        <v>344</v>
      </c>
      <c r="AD84" s="131">
        <v>-2.8248587570621469E-2</v>
      </c>
      <c r="AE84" s="139" t="s">
        <v>97</v>
      </c>
      <c r="AF84" s="139" t="s">
        <v>97</v>
      </c>
      <c r="AG84" s="139" t="s">
        <v>97</v>
      </c>
      <c r="AH84" s="139" t="s">
        <v>97</v>
      </c>
      <c r="AI84" s="139" t="s">
        <v>97</v>
      </c>
      <c r="AJ84" s="139" t="s">
        <v>97</v>
      </c>
      <c r="AK84" s="139" t="s">
        <v>97</v>
      </c>
      <c r="AL84" s="139" t="s">
        <v>97</v>
      </c>
      <c r="AM84" s="139" t="s">
        <v>97</v>
      </c>
    </row>
    <row r="85" spans="9:39" x14ac:dyDescent="0.25">
      <c r="I85" s="130" t="s">
        <v>51</v>
      </c>
      <c r="J85" s="114">
        <v>2716</v>
      </c>
      <c r="K85" s="114">
        <v>2644</v>
      </c>
      <c r="L85" s="116">
        <v>-2.6509572901325482E-2</v>
      </c>
      <c r="M85" s="129">
        <v>5</v>
      </c>
      <c r="N85" s="129">
        <v>6</v>
      </c>
      <c r="O85" s="131">
        <v>0.2</v>
      </c>
      <c r="P85" s="129">
        <v>656</v>
      </c>
      <c r="Q85" s="129">
        <v>578</v>
      </c>
      <c r="R85" s="131">
        <v>-0.1189024390243902</v>
      </c>
      <c r="S85" s="129">
        <v>85</v>
      </c>
      <c r="T85" s="129">
        <v>86</v>
      </c>
      <c r="U85" s="131">
        <v>1.1764705882352939E-2</v>
      </c>
      <c r="V85" s="139" t="s">
        <v>97</v>
      </c>
      <c r="W85" s="139" t="s">
        <v>97</v>
      </c>
      <c r="X85" s="139" t="s">
        <v>97</v>
      </c>
      <c r="Y85" s="129">
        <v>1091</v>
      </c>
      <c r="Z85" s="129">
        <v>1103</v>
      </c>
      <c r="AA85" s="131">
        <v>1.099908340971586E-2</v>
      </c>
      <c r="AB85" s="129">
        <v>887</v>
      </c>
      <c r="AC85" s="129">
        <v>866</v>
      </c>
      <c r="AD85" s="131">
        <v>-2.367531003382187E-2</v>
      </c>
      <c r="AE85" s="139" t="s">
        <v>97</v>
      </c>
      <c r="AF85" s="139" t="s">
        <v>97</v>
      </c>
      <c r="AG85" s="139" t="s">
        <v>97</v>
      </c>
      <c r="AH85" s="139" t="s">
        <v>97</v>
      </c>
      <c r="AI85" s="139" t="s">
        <v>97</v>
      </c>
      <c r="AJ85" s="139" t="s">
        <v>97</v>
      </c>
      <c r="AK85" s="129">
        <v>11</v>
      </c>
      <c r="AL85" s="129">
        <v>12</v>
      </c>
      <c r="AM85" s="131">
        <v>9.0909090909090912E-2</v>
      </c>
    </row>
    <row r="86" spans="9:39" x14ac:dyDescent="0.25">
      <c r="I86" s="130" t="s">
        <v>52</v>
      </c>
      <c r="J86" s="114">
        <v>14659</v>
      </c>
      <c r="K86" s="114">
        <v>14763</v>
      </c>
      <c r="L86" s="116">
        <v>7.0946176410396347E-3</v>
      </c>
      <c r="M86" s="129">
        <v>17</v>
      </c>
      <c r="N86" s="129">
        <v>15</v>
      </c>
      <c r="O86" s="131">
        <v>-0.1176470588235294</v>
      </c>
      <c r="P86" s="129">
        <v>2620</v>
      </c>
      <c r="Q86" s="129">
        <v>2492</v>
      </c>
      <c r="R86" s="131">
        <v>-4.8854961832061068E-2</v>
      </c>
      <c r="S86" s="129">
        <v>747</v>
      </c>
      <c r="T86" s="129">
        <v>816</v>
      </c>
      <c r="U86" s="131">
        <v>9.2369477911646583E-2</v>
      </c>
      <c r="V86" s="139" t="s">
        <v>97</v>
      </c>
      <c r="W86" s="139" t="s">
        <v>97</v>
      </c>
      <c r="X86" s="139" t="s">
        <v>97</v>
      </c>
      <c r="Y86" s="129">
        <v>1491</v>
      </c>
      <c r="Z86" s="129">
        <v>1534</v>
      </c>
      <c r="AA86" s="131">
        <v>2.8839704896042921E-2</v>
      </c>
      <c r="AB86" s="129">
        <v>9724</v>
      </c>
      <c r="AC86" s="129">
        <v>9826</v>
      </c>
      <c r="AD86" s="131">
        <v>1.048951048951049E-2</v>
      </c>
      <c r="AE86" s="139" t="s">
        <v>97</v>
      </c>
      <c r="AF86" s="139" t="s">
        <v>97</v>
      </c>
      <c r="AG86" s="139" t="s">
        <v>97</v>
      </c>
      <c r="AH86" s="139" t="s">
        <v>97</v>
      </c>
      <c r="AI86" s="139" t="s">
        <v>97</v>
      </c>
      <c r="AJ86" s="139" t="s">
        <v>97</v>
      </c>
      <c r="AK86" s="129">
        <v>154</v>
      </c>
      <c r="AL86" s="129">
        <v>151</v>
      </c>
      <c r="AM86" s="131">
        <v>-1.948051948051948E-2</v>
      </c>
    </row>
    <row r="87" spans="9:39" x14ac:dyDescent="0.25">
      <c r="I87" s="130" t="s">
        <v>166</v>
      </c>
      <c r="J87" s="114">
        <v>8027</v>
      </c>
      <c r="K87" s="114">
        <v>8031</v>
      </c>
      <c r="L87" s="116">
        <v>4.9831817615547528E-4</v>
      </c>
      <c r="M87" s="129">
        <v>56</v>
      </c>
      <c r="N87" s="129">
        <v>54</v>
      </c>
      <c r="O87" s="131">
        <v>-3.5714285714285712E-2</v>
      </c>
      <c r="P87" s="129">
        <v>2154</v>
      </c>
      <c r="Q87" s="129">
        <v>2239</v>
      </c>
      <c r="R87" s="131">
        <v>3.9461467038068708E-2</v>
      </c>
      <c r="S87" s="129">
        <v>1017</v>
      </c>
      <c r="T87" s="129">
        <v>975</v>
      </c>
      <c r="U87" s="131">
        <v>-4.1297935103244837E-2</v>
      </c>
      <c r="V87" s="139" t="s">
        <v>97</v>
      </c>
      <c r="W87" s="139" t="s">
        <v>97</v>
      </c>
      <c r="X87" s="139" t="s">
        <v>97</v>
      </c>
      <c r="Y87" s="129">
        <v>1792</v>
      </c>
      <c r="Z87" s="129">
        <v>1788</v>
      </c>
      <c r="AA87" s="131">
        <v>-2.232142857142857E-3</v>
      </c>
      <c r="AB87" s="129">
        <v>2976</v>
      </c>
      <c r="AC87" s="129">
        <v>2934</v>
      </c>
      <c r="AD87" s="131">
        <v>-1.4112903225806449E-2</v>
      </c>
      <c r="AE87" s="139" t="s">
        <v>97</v>
      </c>
      <c r="AF87" s="139" t="s">
        <v>97</v>
      </c>
      <c r="AG87" s="139" t="s">
        <v>97</v>
      </c>
      <c r="AH87" s="139" t="s">
        <v>97</v>
      </c>
      <c r="AI87" s="139" t="s">
        <v>97</v>
      </c>
      <c r="AJ87" s="139" t="s">
        <v>97</v>
      </c>
      <c r="AK87" s="129">
        <v>106</v>
      </c>
      <c r="AL87" s="129">
        <v>102</v>
      </c>
      <c r="AM87" s="131">
        <v>-3.7735849056603772E-2</v>
      </c>
    </row>
    <row r="88" spans="9:39" x14ac:dyDescent="0.25">
      <c r="I88" s="130" t="s">
        <v>55</v>
      </c>
      <c r="J88" s="114">
        <v>4579</v>
      </c>
      <c r="K88" s="114">
        <v>4504</v>
      </c>
      <c r="L88" s="116">
        <v>-1.6379122079056559E-2</v>
      </c>
      <c r="M88" s="129">
        <v>13</v>
      </c>
      <c r="N88" s="129">
        <v>14</v>
      </c>
      <c r="O88" s="131">
        <v>7.6923076923076927E-2</v>
      </c>
      <c r="P88" s="129">
        <v>1809</v>
      </c>
      <c r="Q88" s="129">
        <v>1713</v>
      </c>
      <c r="R88" s="131">
        <v>-5.306799336650083E-2</v>
      </c>
      <c r="S88" s="129">
        <v>700</v>
      </c>
      <c r="T88" s="129">
        <v>692</v>
      </c>
      <c r="U88" s="131">
        <v>-1.142857142857143E-2</v>
      </c>
      <c r="V88" s="139" t="s">
        <v>97</v>
      </c>
      <c r="W88" s="139" t="s">
        <v>97</v>
      </c>
      <c r="X88" s="139" t="s">
        <v>97</v>
      </c>
      <c r="Y88" s="129">
        <v>882</v>
      </c>
      <c r="Z88" s="129">
        <v>916</v>
      </c>
      <c r="AA88" s="131">
        <v>3.8548752834467119E-2</v>
      </c>
      <c r="AB88" s="129">
        <v>1204</v>
      </c>
      <c r="AC88" s="129">
        <v>1229</v>
      </c>
      <c r="AD88" s="131">
        <v>2.0764119601328901E-2</v>
      </c>
      <c r="AE88" s="139" t="s">
        <v>97</v>
      </c>
      <c r="AF88" s="139" t="s">
        <v>97</v>
      </c>
      <c r="AG88" s="139" t="s">
        <v>97</v>
      </c>
      <c r="AH88" s="139" t="s">
        <v>97</v>
      </c>
      <c r="AI88" s="139" t="s">
        <v>97</v>
      </c>
      <c r="AJ88" s="139" t="s">
        <v>97</v>
      </c>
      <c r="AK88" s="139" t="s">
        <v>97</v>
      </c>
      <c r="AL88" s="139" t="s">
        <v>97</v>
      </c>
      <c r="AM88" s="139" t="s">
        <v>97</v>
      </c>
    </row>
    <row r="89" spans="9:39" x14ac:dyDescent="0.25">
      <c r="I89" s="130" t="s">
        <v>56</v>
      </c>
      <c r="J89" s="114">
        <v>3685</v>
      </c>
      <c r="K89" s="114">
        <v>3633</v>
      </c>
      <c r="L89" s="116">
        <v>-1.4111261872455899E-2</v>
      </c>
      <c r="M89" s="129">
        <v>13</v>
      </c>
      <c r="N89" s="129">
        <v>13</v>
      </c>
      <c r="O89" s="131">
        <v>0</v>
      </c>
      <c r="P89" s="129">
        <v>1186</v>
      </c>
      <c r="Q89" s="129">
        <v>1121</v>
      </c>
      <c r="R89" s="131">
        <v>-5.4806070826306917E-2</v>
      </c>
      <c r="S89" s="129">
        <v>673</v>
      </c>
      <c r="T89" s="129">
        <v>630</v>
      </c>
      <c r="U89" s="131">
        <v>-6.3893016344725106E-2</v>
      </c>
      <c r="V89" s="139" t="s">
        <v>97</v>
      </c>
      <c r="W89" s="139" t="s">
        <v>97</v>
      </c>
      <c r="X89" s="139" t="s">
        <v>97</v>
      </c>
      <c r="Y89" s="129">
        <v>579</v>
      </c>
      <c r="Z89" s="129">
        <v>583</v>
      </c>
      <c r="AA89" s="131">
        <v>6.9084628670120886E-3</v>
      </c>
      <c r="AB89" s="129">
        <v>1298</v>
      </c>
      <c r="AC89" s="129">
        <v>1324</v>
      </c>
      <c r="AD89" s="131">
        <v>2.0030816640986129E-2</v>
      </c>
      <c r="AE89" s="139" t="s">
        <v>97</v>
      </c>
      <c r="AF89" s="139" t="s">
        <v>97</v>
      </c>
      <c r="AG89" s="139" t="s">
        <v>97</v>
      </c>
      <c r="AH89" s="139" t="s">
        <v>97</v>
      </c>
      <c r="AI89" s="139" t="s">
        <v>97</v>
      </c>
      <c r="AJ89" s="139" t="s">
        <v>97</v>
      </c>
      <c r="AK89" s="139" t="s">
        <v>97</v>
      </c>
      <c r="AL89" s="139" t="s">
        <v>97</v>
      </c>
      <c r="AM89" s="139" t="s">
        <v>97</v>
      </c>
    </row>
    <row r="90" spans="9:39" x14ac:dyDescent="0.25">
      <c r="I90" s="130" t="s">
        <v>57</v>
      </c>
      <c r="J90" s="114">
        <v>5674</v>
      </c>
      <c r="K90" s="114">
        <v>5687</v>
      </c>
      <c r="L90" s="116">
        <v>2.2911526260133951E-3</v>
      </c>
      <c r="M90" s="129">
        <v>263</v>
      </c>
      <c r="N90" s="129">
        <v>266</v>
      </c>
      <c r="O90" s="131">
        <v>1.140684410646388E-2</v>
      </c>
      <c r="P90" s="129">
        <v>1874</v>
      </c>
      <c r="Q90" s="129">
        <v>1874</v>
      </c>
      <c r="R90" s="131">
        <v>0</v>
      </c>
      <c r="S90" s="129">
        <v>781</v>
      </c>
      <c r="T90" s="129">
        <v>773</v>
      </c>
      <c r="U90" s="131">
        <v>-1.024327784891165E-2</v>
      </c>
      <c r="V90" s="139" t="s">
        <v>97</v>
      </c>
      <c r="W90" s="139" t="s">
        <v>97</v>
      </c>
      <c r="X90" s="139" t="s">
        <v>97</v>
      </c>
      <c r="Y90" s="129">
        <v>607</v>
      </c>
      <c r="Z90" s="129">
        <v>590</v>
      </c>
      <c r="AA90" s="131">
        <v>-2.800658978583196E-2</v>
      </c>
      <c r="AB90" s="129">
        <v>2200</v>
      </c>
      <c r="AC90" s="129">
        <v>2217</v>
      </c>
      <c r="AD90" s="131">
        <v>7.7272727272727276E-3</v>
      </c>
      <c r="AE90" s="139" t="s">
        <v>97</v>
      </c>
      <c r="AF90" s="139" t="s">
        <v>97</v>
      </c>
      <c r="AG90" s="139" t="s">
        <v>97</v>
      </c>
      <c r="AH90" s="139" t="s">
        <v>97</v>
      </c>
      <c r="AI90" s="139" t="s">
        <v>97</v>
      </c>
      <c r="AJ90" s="139" t="s">
        <v>97</v>
      </c>
      <c r="AK90" s="139" t="s">
        <v>97</v>
      </c>
      <c r="AL90" s="139" t="s">
        <v>97</v>
      </c>
      <c r="AM90" s="139" t="s">
        <v>97</v>
      </c>
    </row>
    <row r="91" spans="9:39" x14ac:dyDescent="0.25">
      <c r="I91" s="130" t="s">
        <v>58</v>
      </c>
      <c r="J91" s="114">
        <v>4900</v>
      </c>
      <c r="K91" s="114">
        <v>4940</v>
      </c>
      <c r="L91" s="116">
        <v>8.1632653061224497E-3</v>
      </c>
      <c r="M91" s="129">
        <v>51</v>
      </c>
      <c r="N91" s="129">
        <v>50</v>
      </c>
      <c r="O91" s="131">
        <v>-1.9607843137254902E-2</v>
      </c>
      <c r="P91" s="129">
        <v>2350</v>
      </c>
      <c r="Q91" s="129">
        <v>2390</v>
      </c>
      <c r="R91" s="131">
        <v>1.7021276595744681E-2</v>
      </c>
      <c r="S91" s="129">
        <v>826</v>
      </c>
      <c r="T91" s="129">
        <v>624</v>
      </c>
      <c r="U91" s="131">
        <v>-0.24455205811138009</v>
      </c>
      <c r="V91" s="139" t="s">
        <v>97</v>
      </c>
      <c r="W91" s="139" t="s">
        <v>97</v>
      </c>
      <c r="X91" s="139" t="s">
        <v>97</v>
      </c>
      <c r="Y91" s="129">
        <v>621</v>
      </c>
      <c r="Z91" s="129">
        <v>650</v>
      </c>
      <c r="AA91" s="131">
        <v>4.6698872785829307E-2</v>
      </c>
      <c r="AB91" s="129">
        <v>1130</v>
      </c>
      <c r="AC91" s="129">
        <v>1291</v>
      </c>
      <c r="AD91" s="131">
        <v>0.1424778761061947</v>
      </c>
      <c r="AE91" s="139" t="s">
        <v>97</v>
      </c>
      <c r="AF91" s="139" t="s">
        <v>97</v>
      </c>
      <c r="AG91" s="139" t="s">
        <v>97</v>
      </c>
      <c r="AH91" s="139" t="s">
        <v>97</v>
      </c>
      <c r="AI91" s="139" t="s">
        <v>97</v>
      </c>
      <c r="AJ91" s="139" t="s">
        <v>97</v>
      </c>
      <c r="AK91" s="129">
        <v>1</v>
      </c>
      <c r="AL91" s="129">
        <v>2</v>
      </c>
      <c r="AM91" s="131">
        <v>1</v>
      </c>
    </row>
    <row r="92" spans="9:39" x14ac:dyDescent="0.25">
      <c r="I92" s="130" t="s">
        <v>59</v>
      </c>
      <c r="J92" s="114">
        <v>1570</v>
      </c>
      <c r="K92" s="114">
        <v>1475</v>
      </c>
      <c r="L92" s="116">
        <v>-6.0509554140127389E-2</v>
      </c>
      <c r="M92" s="129">
        <v>2</v>
      </c>
      <c r="N92" s="129">
        <v>1</v>
      </c>
      <c r="O92" s="131">
        <v>-0.5</v>
      </c>
      <c r="P92" s="129">
        <v>507</v>
      </c>
      <c r="Q92" s="129">
        <v>475</v>
      </c>
      <c r="R92" s="131">
        <v>-6.3116370808678504E-2</v>
      </c>
      <c r="S92" s="129">
        <v>74</v>
      </c>
      <c r="T92" s="129">
        <v>71</v>
      </c>
      <c r="U92" s="131">
        <v>-4.0540540540540543E-2</v>
      </c>
      <c r="V92" s="139" t="s">
        <v>97</v>
      </c>
      <c r="W92" s="139" t="s">
        <v>97</v>
      </c>
      <c r="X92" s="139" t="s">
        <v>97</v>
      </c>
      <c r="Y92" s="129">
        <v>490</v>
      </c>
      <c r="Z92" s="129">
        <v>454</v>
      </c>
      <c r="AA92" s="131">
        <v>-7.3469387755102047E-2</v>
      </c>
      <c r="AB92" s="129">
        <v>510</v>
      </c>
      <c r="AC92" s="129">
        <v>481</v>
      </c>
      <c r="AD92" s="131">
        <v>-5.6862745098039208E-2</v>
      </c>
      <c r="AE92" s="139" t="s">
        <v>97</v>
      </c>
      <c r="AF92" s="139" t="s">
        <v>97</v>
      </c>
      <c r="AG92" s="139" t="s">
        <v>97</v>
      </c>
      <c r="AH92" s="139" t="s">
        <v>97</v>
      </c>
      <c r="AI92" s="139" t="s">
        <v>97</v>
      </c>
      <c r="AJ92" s="139" t="s">
        <v>97</v>
      </c>
      <c r="AK92" s="139" t="s">
        <v>97</v>
      </c>
      <c r="AL92" s="139" t="s">
        <v>97</v>
      </c>
      <c r="AM92" s="139" t="s">
        <v>97</v>
      </c>
    </row>
    <row r="93" spans="9:39" x14ac:dyDescent="0.25">
      <c r="I93" s="130" t="s">
        <v>60</v>
      </c>
      <c r="J93" s="114">
        <v>5718</v>
      </c>
      <c r="K93" s="114">
        <v>5549</v>
      </c>
      <c r="L93" s="116">
        <v>-2.9555788737320739E-2</v>
      </c>
      <c r="M93" s="129">
        <v>52</v>
      </c>
      <c r="N93" s="129">
        <v>45</v>
      </c>
      <c r="O93" s="131">
        <v>-0.13461538461538461</v>
      </c>
      <c r="P93" s="129">
        <v>1197</v>
      </c>
      <c r="Q93" s="129">
        <v>1130</v>
      </c>
      <c r="R93" s="131">
        <v>-5.5973266499582293E-2</v>
      </c>
      <c r="S93" s="129">
        <v>1069</v>
      </c>
      <c r="T93" s="129">
        <v>998</v>
      </c>
      <c r="U93" s="131">
        <v>-6.641721234798878E-2</v>
      </c>
      <c r="V93" s="139" t="s">
        <v>97</v>
      </c>
      <c r="W93" s="139" t="s">
        <v>97</v>
      </c>
      <c r="X93" s="139" t="s">
        <v>97</v>
      </c>
      <c r="Y93" s="129">
        <v>800</v>
      </c>
      <c r="Z93" s="129">
        <v>808</v>
      </c>
      <c r="AA93" s="131">
        <v>0.01</v>
      </c>
      <c r="AB93" s="129">
        <v>2653</v>
      </c>
      <c r="AC93" s="129">
        <v>2607</v>
      </c>
      <c r="AD93" s="131">
        <v>-1.7338861666038451E-2</v>
      </c>
      <c r="AE93" s="139" t="s">
        <v>97</v>
      </c>
      <c r="AF93" s="139" t="s">
        <v>97</v>
      </c>
      <c r="AG93" s="139" t="s">
        <v>97</v>
      </c>
      <c r="AH93" s="139" t="s">
        <v>97</v>
      </c>
      <c r="AI93" s="139" t="s">
        <v>97</v>
      </c>
      <c r="AJ93" s="139" t="s">
        <v>97</v>
      </c>
      <c r="AK93" s="139" t="s">
        <v>97</v>
      </c>
      <c r="AL93" s="139" t="s">
        <v>97</v>
      </c>
      <c r="AM93" s="139" t="s">
        <v>97</v>
      </c>
    </row>
    <row r="94" spans="9:39" x14ac:dyDescent="0.25">
      <c r="I94" s="130" t="s">
        <v>61</v>
      </c>
      <c r="J94" s="114">
        <v>9029</v>
      </c>
      <c r="K94" s="114">
        <v>8908</v>
      </c>
      <c r="L94" s="116">
        <v>-1.340126259829439E-2</v>
      </c>
      <c r="M94" s="139" t="s">
        <v>97</v>
      </c>
      <c r="N94" s="139" t="s">
        <v>97</v>
      </c>
      <c r="O94" s="139" t="s">
        <v>97</v>
      </c>
      <c r="P94" s="129">
        <v>3512</v>
      </c>
      <c r="Q94" s="129">
        <v>3330</v>
      </c>
      <c r="R94" s="131">
        <v>-5.1822323462414582E-2</v>
      </c>
      <c r="S94" s="129">
        <v>1069</v>
      </c>
      <c r="T94" s="129">
        <v>1120</v>
      </c>
      <c r="U94" s="131">
        <v>4.7708138447146872E-2</v>
      </c>
      <c r="V94" s="139" t="s">
        <v>97</v>
      </c>
      <c r="W94" s="139" t="s">
        <v>97</v>
      </c>
      <c r="X94" s="139" t="s">
        <v>97</v>
      </c>
      <c r="Y94" s="129">
        <v>1505</v>
      </c>
      <c r="Z94" s="129">
        <v>1449</v>
      </c>
      <c r="AA94" s="131">
        <v>-3.7209302325581388E-2</v>
      </c>
      <c r="AB94" s="129">
        <v>3094</v>
      </c>
      <c r="AC94" s="129">
        <v>3057</v>
      </c>
      <c r="AD94" s="131">
        <v>-1.195862960568843E-2</v>
      </c>
      <c r="AE94" s="139" t="s">
        <v>97</v>
      </c>
      <c r="AF94" s="139" t="s">
        <v>97</v>
      </c>
      <c r="AG94" s="139" t="s">
        <v>97</v>
      </c>
      <c r="AH94" s="139" t="s">
        <v>97</v>
      </c>
      <c r="AI94" s="139" t="s">
        <v>97</v>
      </c>
      <c r="AJ94" s="139" t="s">
        <v>97</v>
      </c>
      <c r="AK94" s="129">
        <v>6</v>
      </c>
      <c r="AL94" s="129">
        <v>7</v>
      </c>
      <c r="AM94" s="131">
        <v>0.16666666666666671</v>
      </c>
    </row>
    <row r="95" spans="9:39" x14ac:dyDescent="0.25">
      <c r="I95" s="130" t="s">
        <v>62</v>
      </c>
      <c r="J95" s="114">
        <v>11157</v>
      </c>
      <c r="K95" s="114">
        <v>11191</v>
      </c>
      <c r="L95" s="116">
        <v>3.0474141794389169E-3</v>
      </c>
      <c r="M95" s="129">
        <v>92</v>
      </c>
      <c r="N95" s="129">
        <v>95</v>
      </c>
      <c r="O95" s="131">
        <v>3.2608695652173912E-2</v>
      </c>
      <c r="P95" s="129">
        <v>1114</v>
      </c>
      <c r="Q95" s="129">
        <v>1104</v>
      </c>
      <c r="R95" s="131">
        <v>-8.9766606822262122E-3</v>
      </c>
      <c r="S95" s="129">
        <v>1274</v>
      </c>
      <c r="T95" s="129">
        <v>724</v>
      </c>
      <c r="U95" s="131">
        <v>-0.43171114599686028</v>
      </c>
      <c r="V95" s="139" t="s">
        <v>97</v>
      </c>
      <c r="W95" s="139" t="s">
        <v>97</v>
      </c>
      <c r="X95" s="139" t="s">
        <v>97</v>
      </c>
      <c r="Y95" s="129">
        <v>3735</v>
      </c>
      <c r="Z95" s="129">
        <v>3870</v>
      </c>
      <c r="AA95" s="131">
        <v>3.614457831325301E-2</v>
      </c>
      <c r="AB95" s="129">
        <v>5049</v>
      </c>
      <c r="AC95" s="129">
        <v>5479</v>
      </c>
      <c r="AD95" s="131">
        <v>8.5165379283026338E-2</v>
      </c>
      <c r="AE95" s="139" t="s">
        <v>97</v>
      </c>
      <c r="AF95" s="139" t="s">
        <v>97</v>
      </c>
      <c r="AG95" s="139" t="s">
        <v>97</v>
      </c>
      <c r="AH95" s="139" t="s">
        <v>97</v>
      </c>
      <c r="AI95" s="139" t="s">
        <v>97</v>
      </c>
      <c r="AJ95" s="139" t="s">
        <v>97</v>
      </c>
      <c r="AK95" s="139" t="s">
        <v>97</v>
      </c>
      <c r="AL95" s="139" t="s">
        <v>97</v>
      </c>
      <c r="AM95" s="139" t="s">
        <v>97</v>
      </c>
    </row>
    <row r="96" spans="9:39" x14ac:dyDescent="0.25">
      <c r="I96" s="130" t="s">
        <v>63</v>
      </c>
      <c r="J96" s="114">
        <v>7158</v>
      </c>
      <c r="K96" s="114">
        <v>7138</v>
      </c>
      <c r="L96" s="116">
        <v>-2.7940765576976809E-3</v>
      </c>
      <c r="M96" s="129">
        <v>30</v>
      </c>
      <c r="N96" s="129">
        <v>25</v>
      </c>
      <c r="O96" s="131">
        <v>-0.16666666666666671</v>
      </c>
      <c r="P96" s="129">
        <v>1763</v>
      </c>
      <c r="Q96" s="129">
        <v>1661</v>
      </c>
      <c r="R96" s="131">
        <v>-5.7855927396483257E-2</v>
      </c>
      <c r="S96" s="129">
        <v>299</v>
      </c>
      <c r="T96" s="129">
        <v>307</v>
      </c>
      <c r="U96" s="131">
        <v>2.6755852842809361E-2</v>
      </c>
      <c r="V96" s="139" t="s">
        <v>97</v>
      </c>
      <c r="W96" s="139" t="s">
        <v>97</v>
      </c>
      <c r="X96" s="139" t="s">
        <v>97</v>
      </c>
      <c r="Y96" s="129">
        <v>1243</v>
      </c>
      <c r="Z96" s="129">
        <v>1259</v>
      </c>
      <c r="AA96" s="131">
        <v>1.287208366854384E-2</v>
      </c>
      <c r="AB96" s="129">
        <v>3870</v>
      </c>
      <c r="AC96" s="129">
        <v>3954</v>
      </c>
      <c r="AD96" s="131">
        <v>2.170542635658915E-2</v>
      </c>
      <c r="AE96" s="139" t="s">
        <v>97</v>
      </c>
      <c r="AF96" s="139" t="s">
        <v>97</v>
      </c>
      <c r="AG96" s="139" t="s">
        <v>97</v>
      </c>
      <c r="AH96" s="139" t="s">
        <v>97</v>
      </c>
      <c r="AI96" s="139" t="s">
        <v>97</v>
      </c>
      <c r="AJ96" s="139" t="s">
        <v>97</v>
      </c>
      <c r="AK96" s="129">
        <v>3</v>
      </c>
      <c r="AL96" s="129">
        <v>2</v>
      </c>
      <c r="AM96" s="131">
        <v>-0.33333333333333331</v>
      </c>
    </row>
    <row r="97" spans="9:39" x14ac:dyDescent="0.25">
      <c r="I97" s="130" t="s">
        <v>64</v>
      </c>
      <c r="J97" s="114">
        <v>3648</v>
      </c>
      <c r="K97" s="114">
        <v>3642</v>
      </c>
      <c r="L97" s="116">
        <v>-1.6447368421052631E-3</v>
      </c>
      <c r="M97" s="129">
        <v>59</v>
      </c>
      <c r="N97" s="129">
        <v>62</v>
      </c>
      <c r="O97" s="131">
        <v>5.0847457627118647E-2</v>
      </c>
      <c r="P97" s="129">
        <v>1797</v>
      </c>
      <c r="Q97" s="129">
        <v>1811</v>
      </c>
      <c r="R97" s="131">
        <v>7.7907623817473574E-3</v>
      </c>
      <c r="S97" s="129">
        <v>1190</v>
      </c>
      <c r="T97" s="129">
        <v>766</v>
      </c>
      <c r="U97" s="131">
        <v>-0.35630252100840337</v>
      </c>
      <c r="V97" s="139" t="s">
        <v>97</v>
      </c>
      <c r="W97" s="139" t="s">
        <v>97</v>
      </c>
      <c r="X97" s="139" t="s">
        <v>97</v>
      </c>
      <c r="Y97" s="129">
        <v>219</v>
      </c>
      <c r="Z97" s="129">
        <v>221</v>
      </c>
      <c r="AA97" s="131">
        <v>9.1324200913242004E-3</v>
      </c>
      <c r="AB97" s="129">
        <v>444</v>
      </c>
      <c r="AC97" s="129">
        <v>801</v>
      </c>
      <c r="AD97" s="131">
        <v>0.80405405405405406</v>
      </c>
      <c r="AE97" s="139" t="s">
        <v>97</v>
      </c>
      <c r="AF97" s="139" t="s">
        <v>97</v>
      </c>
      <c r="AG97" s="139" t="s">
        <v>97</v>
      </c>
      <c r="AH97" s="139" t="s">
        <v>97</v>
      </c>
      <c r="AI97" s="139" t="s">
        <v>97</v>
      </c>
      <c r="AJ97" s="139" t="s">
        <v>97</v>
      </c>
      <c r="AK97" s="139" t="s">
        <v>97</v>
      </c>
      <c r="AL97" s="139" t="s">
        <v>97</v>
      </c>
      <c r="AM97" s="139" t="s">
        <v>97</v>
      </c>
    </row>
    <row r="98" spans="9:39" x14ac:dyDescent="0.25">
      <c r="I98" s="130" t="s">
        <v>65</v>
      </c>
      <c r="J98" s="114">
        <v>8924</v>
      </c>
      <c r="K98" s="114">
        <v>9038</v>
      </c>
      <c r="L98" s="116">
        <v>1.2774540564769159E-2</v>
      </c>
      <c r="M98" s="129">
        <v>64</v>
      </c>
      <c r="N98" s="129">
        <v>66</v>
      </c>
      <c r="O98" s="131">
        <v>3.125E-2</v>
      </c>
      <c r="P98" s="129">
        <v>2498</v>
      </c>
      <c r="Q98" s="129">
        <v>2625</v>
      </c>
      <c r="R98" s="131">
        <v>5.0840672538030422E-2</v>
      </c>
      <c r="S98" s="129">
        <v>2248</v>
      </c>
      <c r="T98" s="129">
        <v>2205</v>
      </c>
      <c r="U98" s="131">
        <v>-1.912811387900356E-2</v>
      </c>
      <c r="V98" s="139" t="s">
        <v>97</v>
      </c>
      <c r="W98" s="139" t="s">
        <v>97</v>
      </c>
      <c r="X98" s="139" t="s">
        <v>97</v>
      </c>
      <c r="Y98" s="129">
        <v>1024</v>
      </c>
      <c r="Z98" s="129">
        <v>1012</v>
      </c>
      <c r="AA98" s="131">
        <v>-1.171875E-2</v>
      </c>
      <c r="AB98" s="129">
        <v>3156</v>
      </c>
      <c r="AC98" s="129">
        <v>3182</v>
      </c>
      <c r="AD98" s="131">
        <v>8.2382762991128015E-3</v>
      </c>
      <c r="AE98" s="139" t="s">
        <v>97</v>
      </c>
      <c r="AF98" s="139" t="s">
        <v>97</v>
      </c>
      <c r="AG98" s="139" t="s">
        <v>97</v>
      </c>
      <c r="AH98" s="139" t="s">
        <v>97</v>
      </c>
      <c r="AI98" s="139" t="s">
        <v>97</v>
      </c>
      <c r="AJ98" s="139" t="s">
        <v>97</v>
      </c>
      <c r="AK98" s="139" t="s">
        <v>97</v>
      </c>
      <c r="AL98" s="139" t="s">
        <v>97</v>
      </c>
      <c r="AM98" s="139" t="s">
        <v>97</v>
      </c>
    </row>
    <row r="99" spans="9:39" x14ac:dyDescent="0.25">
      <c r="I99" s="130" t="s">
        <v>66</v>
      </c>
      <c r="J99" s="114">
        <v>1328</v>
      </c>
      <c r="K99" s="114">
        <v>1332</v>
      </c>
      <c r="L99" s="116">
        <v>3.0120481927710841E-3</v>
      </c>
      <c r="M99" s="129">
        <v>4</v>
      </c>
      <c r="N99" s="129">
        <v>4</v>
      </c>
      <c r="O99" s="131">
        <v>0</v>
      </c>
      <c r="P99" s="129">
        <v>459</v>
      </c>
      <c r="Q99" s="129">
        <v>469</v>
      </c>
      <c r="R99" s="131">
        <v>2.178649237472767E-2</v>
      </c>
      <c r="S99" s="129">
        <v>320</v>
      </c>
      <c r="T99" s="129">
        <v>301</v>
      </c>
      <c r="U99" s="131">
        <v>-5.9374999999999997E-2</v>
      </c>
      <c r="V99" s="139" t="s">
        <v>97</v>
      </c>
      <c r="W99" s="139" t="s">
        <v>97</v>
      </c>
      <c r="X99" s="139" t="s">
        <v>97</v>
      </c>
      <c r="Y99" s="129">
        <v>243</v>
      </c>
      <c r="Z99" s="129">
        <v>251</v>
      </c>
      <c r="AA99" s="131">
        <v>3.292181069958848E-2</v>
      </c>
      <c r="AB99" s="129">
        <v>306</v>
      </c>
      <c r="AC99" s="129">
        <v>305</v>
      </c>
      <c r="AD99" s="131">
        <v>-3.26797385620915E-3</v>
      </c>
      <c r="AE99" s="139" t="s">
        <v>97</v>
      </c>
      <c r="AF99" s="139" t="s">
        <v>97</v>
      </c>
      <c r="AG99" s="139" t="s">
        <v>97</v>
      </c>
      <c r="AH99" s="139" t="s">
        <v>97</v>
      </c>
      <c r="AI99" s="139" t="s">
        <v>97</v>
      </c>
      <c r="AJ99" s="139" t="s">
        <v>97</v>
      </c>
      <c r="AK99" s="129">
        <v>4</v>
      </c>
      <c r="AL99" s="129">
        <v>6</v>
      </c>
      <c r="AM99" s="131">
        <v>0.5</v>
      </c>
    </row>
    <row r="100" spans="9:39" x14ac:dyDescent="0.25">
      <c r="I100" s="130" t="s">
        <v>67</v>
      </c>
      <c r="J100" s="114">
        <v>2885</v>
      </c>
      <c r="K100" s="114">
        <v>2860</v>
      </c>
      <c r="L100" s="116">
        <v>-8.6655112651646445E-3</v>
      </c>
      <c r="M100" s="129">
        <v>9</v>
      </c>
      <c r="N100" s="129">
        <v>11</v>
      </c>
      <c r="O100" s="131">
        <v>0.22222222222222221</v>
      </c>
      <c r="P100" s="129">
        <v>925</v>
      </c>
      <c r="Q100" s="129">
        <v>884</v>
      </c>
      <c r="R100" s="131">
        <v>-4.4324324324324323E-2</v>
      </c>
      <c r="S100" s="129">
        <v>694</v>
      </c>
      <c r="T100" s="129">
        <v>735</v>
      </c>
      <c r="U100" s="131">
        <v>5.9077809798270903E-2</v>
      </c>
      <c r="V100" s="139" t="s">
        <v>97</v>
      </c>
      <c r="W100" s="139" t="s">
        <v>97</v>
      </c>
      <c r="X100" s="139" t="s">
        <v>97</v>
      </c>
      <c r="Y100" s="129">
        <v>270</v>
      </c>
      <c r="Z100" s="129">
        <v>270</v>
      </c>
      <c r="AA100" s="131">
        <v>0</v>
      </c>
      <c r="AB100" s="129">
        <v>1012</v>
      </c>
      <c r="AC100" s="129">
        <v>995</v>
      </c>
      <c r="AD100" s="131">
        <v>-1.6798418972332019E-2</v>
      </c>
      <c r="AE100" s="139" t="s">
        <v>97</v>
      </c>
      <c r="AF100" s="139" t="s">
        <v>97</v>
      </c>
      <c r="AG100" s="139" t="s">
        <v>97</v>
      </c>
      <c r="AH100" s="139" t="s">
        <v>97</v>
      </c>
      <c r="AI100" s="139" t="s">
        <v>97</v>
      </c>
      <c r="AJ100" s="139" t="s">
        <v>97</v>
      </c>
      <c r="AK100" s="139" t="s">
        <v>97</v>
      </c>
      <c r="AL100" s="139" t="s">
        <v>97</v>
      </c>
      <c r="AM100" s="139" t="s">
        <v>97</v>
      </c>
    </row>
    <row r="101" spans="9:39" x14ac:dyDescent="0.25">
      <c r="I101" s="130" t="s">
        <v>68</v>
      </c>
      <c r="J101" s="114">
        <v>2099</v>
      </c>
      <c r="K101" s="114">
        <v>2029</v>
      </c>
      <c r="L101" s="116">
        <v>-3.3349213911386372E-2</v>
      </c>
      <c r="M101" s="139" t="s">
        <v>97</v>
      </c>
      <c r="N101" s="139" t="s">
        <v>97</v>
      </c>
      <c r="O101" s="139" t="s">
        <v>97</v>
      </c>
      <c r="P101" s="129">
        <v>108</v>
      </c>
      <c r="Q101" s="129">
        <v>83</v>
      </c>
      <c r="R101" s="131">
        <v>-0.23148148148148151</v>
      </c>
      <c r="S101" s="129">
        <v>68</v>
      </c>
      <c r="T101" s="129">
        <v>66</v>
      </c>
      <c r="U101" s="131">
        <v>-2.9411764705882349E-2</v>
      </c>
      <c r="V101" s="139" t="s">
        <v>97</v>
      </c>
      <c r="W101" s="139" t="s">
        <v>97</v>
      </c>
      <c r="X101" s="139" t="s">
        <v>97</v>
      </c>
      <c r="Y101" s="129">
        <v>267</v>
      </c>
      <c r="Z101" s="129">
        <v>254</v>
      </c>
      <c r="AA101" s="131">
        <v>-4.8689138576779027E-2</v>
      </c>
      <c r="AB101" s="129">
        <v>1636</v>
      </c>
      <c r="AC101" s="129">
        <v>1597</v>
      </c>
      <c r="AD101" s="131">
        <v>-2.3838630806845961E-2</v>
      </c>
      <c r="AE101" s="139" t="s">
        <v>97</v>
      </c>
      <c r="AF101" s="139" t="s">
        <v>97</v>
      </c>
      <c r="AG101" s="139" t="s">
        <v>97</v>
      </c>
      <c r="AH101" s="139" t="s">
        <v>97</v>
      </c>
      <c r="AI101" s="139" t="s">
        <v>97</v>
      </c>
      <c r="AJ101" s="139" t="s">
        <v>97</v>
      </c>
      <c r="AK101" s="129">
        <v>32</v>
      </c>
      <c r="AL101" s="129">
        <v>33</v>
      </c>
      <c r="AM101" s="131">
        <v>3.125E-2</v>
      </c>
    </row>
    <row r="102" spans="9:39" x14ac:dyDescent="0.25">
      <c r="I102" s="130" t="s">
        <v>69</v>
      </c>
      <c r="J102" s="114">
        <v>1361</v>
      </c>
      <c r="K102" s="114">
        <v>1330</v>
      </c>
      <c r="L102" s="116">
        <v>-2.2777369581190299E-2</v>
      </c>
      <c r="M102" s="139" t="s">
        <v>97</v>
      </c>
      <c r="N102" s="139" t="s">
        <v>97</v>
      </c>
      <c r="O102" s="139" t="s">
        <v>97</v>
      </c>
      <c r="P102" s="129">
        <v>259</v>
      </c>
      <c r="Q102" s="129">
        <v>229</v>
      </c>
      <c r="R102" s="131">
        <v>-0.11583011583011581</v>
      </c>
      <c r="S102" s="129">
        <v>117</v>
      </c>
      <c r="T102" s="129">
        <v>121</v>
      </c>
      <c r="U102" s="131">
        <v>3.4188034188034191E-2</v>
      </c>
      <c r="V102" s="139" t="s">
        <v>97</v>
      </c>
      <c r="W102" s="139" t="s">
        <v>97</v>
      </c>
      <c r="X102" s="139" t="s">
        <v>97</v>
      </c>
      <c r="Y102" s="129">
        <v>378</v>
      </c>
      <c r="Z102" s="129">
        <v>375</v>
      </c>
      <c r="AA102" s="131">
        <v>-7.9365079365079361E-3</v>
      </c>
      <c r="AB102" s="129">
        <v>634</v>
      </c>
      <c r="AC102" s="129">
        <v>616</v>
      </c>
      <c r="AD102" s="131">
        <v>-2.8391167192429019E-2</v>
      </c>
      <c r="AE102" s="129">
        <v>1</v>
      </c>
      <c r="AF102" s="129">
        <v>0</v>
      </c>
      <c r="AG102" s="131">
        <v>-1</v>
      </c>
      <c r="AH102" s="139" t="s">
        <v>97</v>
      </c>
      <c r="AI102" s="139" t="s">
        <v>97</v>
      </c>
      <c r="AJ102" s="139" t="s">
        <v>97</v>
      </c>
      <c r="AK102" s="139" t="s">
        <v>97</v>
      </c>
      <c r="AL102" s="139" t="s">
        <v>97</v>
      </c>
      <c r="AM102" s="139" t="s">
        <v>97</v>
      </c>
    </row>
    <row r="103" spans="9:39" x14ac:dyDescent="0.25">
      <c r="I103" s="130" t="s">
        <v>70</v>
      </c>
      <c r="J103" s="114">
        <v>9523</v>
      </c>
      <c r="K103" s="114">
        <v>9285</v>
      </c>
      <c r="L103" s="116">
        <v>-2.4992124330568102E-2</v>
      </c>
      <c r="M103" s="129">
        <v>2</v>
      </c>
      <c r="N103" s="129">
        <v>2</v>
      </c>
      <c r="O103" s="131">
        <v>0</v>
      </c>
      <c r="P103" s="129">
        <v>1430</v>
      </c>
      <c r="Q103" s="129">
        <v>1484</v>
      </c>
      <c r="R103" s="131">
        <v>3.7762237762237763E-2</v>
      </c>
      <c r="S103" s="129">
        <v>566</v>
      </c>
      <c r="T103" s="129">
        <v>551</v>
      </c>
      <c r="U103" s="131">
        <v>-2.6501766784452301E-2</v>
      </c>
      <c r="V103" s="139" t="s">
        <v>97</v>
      </c>
      <c r="W103" s="139" t="s">
        <v>97</v>
      </c>
      <c r="X103" s="139" t="s">
        <v>97</v>
      </c>
      <c r="Y103" s="129">
        <v>671</v>
      </c>
      <c r="Z103" s="129">
        <v>655</v>
      </c>
      <c r="AA103" s="131">
        <v>-2.3845007451564829E-2</v>
      </c>
      <c r="AB103" s="129">
        <v>6908</v>
      </c>
      <c r="AC103" s="129">
        <v>6619</v>
      </c>
      <c r="AD103" s="131">
        <v>-4.1835552982049801E-2</v>
      </c>
      <c r="AE103" s="139" t="s">
        <v>97</v>
      </c>
      <c r="AF103" s="139" t="s">
        <v>97</v>
      </c>
      <c r="AG103" s="139" t="s">
        <v>97</v>
      </c>
      <c r="AH103" s="139" t="s">
        <v>97</v>
      </c>
      <c r="AI103" s="139" t="s">
        <v>97</v>
      </c>
      <c r="AJ103" s="139" t="s">
        <v>97</v>
      </c>
      <c r="AK103" s="129">
        <v>6</v>
      </c>
      <c r="AL103" s="129">
        <v>6</v>
      </c>
      <c r="AM103" s="131">
        <v>0</v>
      </c>
    </row>
    <row r="104" spans="9:39" x14ac:dyDescent="0.25">
      <c r="I104" s="130" t="s">
        <v>71</v>
      </c>
      <c r="J104" s="114">
        <v>1358</v>
      </c>
      <c r="K104" s="114">
        <v>1253</v>
      </c>
      <c r="L104" s="116">
        <v>-7.7319587628865982E-2</v>
      </c>
      <c r="M104" s="129">
        <v>8</v>
      </c>
      <c r="N104" s="129">
        <v>8</v>
      </c>
      <c r="O104" s="131">
        <v>0</v>
      </c>
      <c r="P104" s="129">
        <v>405</v>
      </c>
      <c r="Q104" s="129">
        <v>331</v>
      </c>
      <c r="R104" s="131">
        <v>-0.18271604938271599</v>
      </c>
      <c r="S104" s="129">
        <v>39</v>
      </c>
      <c r="T104" s="129">
        <v>38</v>
      </c>
      <c r="U104" s="131">
        <v>-2.564102564102564E-2</v>
      </c>
      <c r="V104" s="139" t="s">
        <v>97</v>
      </c>
      <c r="W104" s="139" t="s">
        <v>97</v>
      </c>
      <c r="X104" s="139" t="s">
        <v>97</v>
      </c>
      <c r="Y104" s="129">
        <v>203</v>
      </c>
      <c r="Z104" s="129">
        <v>197</v>
      </c>
      <c r="AA104" s="131">
        <v>-2.9556650246305421E-2</v>
      </c>
      <c r="AB104" s="129">
        <v>713</v>
      </c>
      <c r="AC104" s="129">
        <v>685</v>
      </c>
      <c r="AD104" s="131">
        <v>-3.9270687237026647E-2</v>
      </c>
      <c r="AE104" s="139" t="s">
        <v>97</v>
      </c>
      <c r="AF104" s="139" t="s">
        <v>97</v>
      </c>
      <c r="AG104" s="139" t="s">
        <v>97</v>
      </c>
      <c r="AH104" s="139" t="s">
        <v>97</v>
      </c>
      <c r="AI104" s="139" t="s">
        <v>97</v>
      </c>
      <c r="AJ104" s="139" t="s">
        <v>97</v>
      </c>
      <c r="AK104" s="139" t="s">
        <v>97</v>
      </c>
      <c r="AL104" s="139" t="s">
        <v>97</v>
      </c>
      <c r="AM104" s="139" t="s">
        <v>97</v>
      </c>
    </row>
    <row r="105" spans="9:39" x14ac:dyDescent="0.25">
      <c r="I105" s="130" t="s">
        <v>72</v>
      </c>
      <c r="J105" s="114">
        <v>21092</v>
      </c>
      <c r="K105" s="114">
        <v>21146</v>
      </c>
      <c r="L105" s="116">
        <v>2.560212402806752E-3</v>
      </c>
      <c r="M105" s="129">
        <v>19</v>
      </c>
      <c r="N105" s="129">
        <v>20</v>
      </c>
      <c r="O105" s="131">
        <v>5.2631578947368418E-2</v>
      </c>
      <c r="P105" s="129">
        <v>973</v>
      </c>
      <c r="Q105" s="129">
        <v>952</v>
      </c>
      <c r="R105" s="131">
        <v>-2.1582733812949641E-2</v>
      </c>
      <c r="S105" s="129">
        <v>2445</v>
      </c>
      <c r="T105" s="129">
        <v>2313</v>
      </c>
      <c r="U105" s="131">
        <v>-5.3987730061349687E-2</v>
      </c>
      <c r="V105" s="129">
        <v>2</v>
      </c>
      <c r="W105" s="129">
        <v>2</v>
      </c>
      <c r="X105" s="131">
        <v>0</v>
      </c>
      <c r="Y105" s="129">
        <v>3868</v>
      </c>
      <c r="Z105" s="129">
        <v>3936</v>
      </c>
      <c r="AA105" s="131">
        <v>1.7580144777662871E-2</v>
      </c>
      <c r="AB105" s="129">
        <v>13921</v>
      </c>
      <c r="AC105" s="129">
        <v>13984</v>
      </c>
      <c r="AD105" s="131">
        <v>4.5255369585518283E-3</v>
      </c>
      <c r="AE105" s="129">
        <v>2</v>
      </c>
      <c r="AF105" s="129">
        <v>1</v>
      </c>
      <c r="AG105" s="131">
        <v>-0.5</v>
      </c>
      <c r="AH105" s="139" t="s">
        <v>97</v>
      </c>
      <c r="AI105" s="139" t="s">
        <v>97</v>
      </c>
      <c r="AJ105" s="139" t="s">
        <v>97</v>
      </c>
      <c r="AK105" s="129">
        <v>8</v>
      </c>
      <c r="AL105" s="129">
        <v>7</v>
      </c>
      <c r="AM105" s="131">
        <v>-0.125</v>
      </c>
    </row>
    <row r="106" spans="9:39" x14ac:dyDescent="0.25">
      <c r="I106" s="130" t="s">
        <v>73</v>
      </c>
      <c r="J106" s="114">
        <v>10543</v>
      </c>
      <c r="K106" s="114">
        <v>10599</v>
      </c>
      <c r="L106" s="116">
        <v>5.3115811438869389E-3</v>
      </c>
      <c r="M106" s="129">
        <v>158</v>
      </c>
      <c r="N106" s="129">
        <v>150</v>
      </c>
      <c r="O106" s="131">
        <v>-5.0632911392405063E-2</v>
      </c>
      <c r="P106" s="129">
        <v>2809</v>
      </c>
      <c r="Q106" s="129">
        <v>2712</v>
      </c>
      <c r="R106" s="131">
        <v>-3.4531861872552513E-2</v>
      </c>
      <c r="S106" s="129">
        <v>1373</v>
      </c>
      <c r="T106" s="129">
        <v>1368</v>
      </c>
      <c r="U106" s="131">
        <v>-3.6416605972323379E-3</v>
      </c>
      <c r="V106" s="139" t="s">
        <v>97</v>
      </c>
      <c r="W106" s="139" t="s">
        <v>97</v>
      </c>
      <c r="X106" s="139" t="s">
        <v>97</v>
      </c>
      <c r="Y106" s="129">
        <v>2118</v>
      </c>
      <c r="Z106" s="129">
        <v>2189</v>
      </c>
      <c r="AA106" s="131">
        <v>3.352219074598678E-2</v>
      </c>
      <c r="AB106" s="129">
        <v>4222</v>
      </c>
      <c r="AC106" s="129">
        <v>4247</v>
      </c>
      <c r="AD106" s="131">
        <v>5.9213642823306486E-3</v>
      </c>
      <c r="AE106" s="139" t="s">
        <v>97</v>
      </c>
      <c r="AF106" s="139" t="s">
        <v>97</v>
      </c>
      <c r="AG106" s="139" t="s">
        <v>97</v>
      </c>
      <c r="AH106" s="139" t="s">
        <v>97</v>
      </c>
      <c r="AI106" s="139" t="s">
        <v>97</v>
      </c>
      <c r="AJ106" s="139" t="s">
        <v>97</v>
      </c>
      <c r="AK106" s="139" t="s">
        <v>97</v>
      </c>
      <c r="AL106" s="139" t="s">
        <v>97</v>
      </c>
      <c r="AM106" s="139" t="s">
        <v>97</v>
      </c>
    </row>
    <row r="107" spans="9:39" x14ac:dyDescent="0.25">
      <c r="I107" s="130" t="s">
        <v>74</v>
      </c>
      <c r="J107" s="114">
        <v>1023</v>
      </c>
      <c r="K107" s="114">
        <v>1037</v>
      </c>
      <c r="L107" s="116">
        <v>1.3685239491691099E-2</v>
      </c>
      <c r="M107" s="129">
        <v>2</v>
      </c>
      <c r="N107" s="129">
        <v>2</v>
      </c>
      <c r="O107" s="131">
        <v>0</v>
      </c>
      <c r="P107" s="129">
        <v>365</v>
      </c>
      <c r="Q107" s="129">
        <v>353</v>
      </c>
      <c r="R107" s="131">
        <v>-3.287671232876712E-2</v>
      </c>
      <c r="S107" s="129">
        <v>31</v>
      </c>
      <c r="T107" s="129">
        <v>32</v>
      </c>
      <c r="U107" s="131">
        <v>3.2258064516129031E-2</v>
      </c>
      <c r="V107" s="139" t="s">
        <v>97</v>
      </c>
      <c r="W107" s="139" t="s">
        <v>97</v>
      </c>
      <c r="X107" s="139" t="s">
        <v>97</v>
      </c>
      <c r="Y107" s="129">
        <v>243</v>
      </c>
      <c r="Z107" s="129">
        <v>241</v>
      </c>
      <c r="AA107" s="131">
        <v>-8.23045267489712E-3</v>
      </c>
      <c r="AB107" s="129">
        <v>391</v>
      </c>
      <c r="AC107" s="129">
        <v>416</v>
      </c>
      <c r="AD107" s="131">
        <v>6.3938618925831206E-2</v>
      </c>
      <c r="AE107" s="139" t="s">
        <v>97</v>
      </c>
      <c r="AF107" s="139" t="s">
        <v>97</v>
      </c>
      <c r="AG107" s="139" t="s">
        <v>97</v>
      </c>
      <c r="AH107" s="139" t="s">
        <v>97</v>
      </c>
      <c r="AI107" s="139" t="s">
        <v>97</v>
      </c>
      <c r="AJ107" s="139" t="s">
        <v>97</v>
      </c>
      <c r="AK107" s="139" t="s">
        <v>97</v>
      </c>
      <c r="AL107" s="139" t="s">
        <v>97</v>
      </c>
      <c r="AM107" s="139" t="s">
        <v>97</v>
      </c>
    </row>
    <row r="108" spans="9:39" x14ac:dyDescent="0.25">
      <c r="I108" s="130" t="s">
        <v>75</v>
      </c>
      <c r="J108" s="114">
        <v>14743</v>
      </c>
      <c r="K108" s="114">
        <v>14648</v>
      </c>
      <c r="L108" s="116">
        <v>-6.443736010309978E-3</v>
      </c>
      <c r="M108" s="129">
        <v>85</v>
      </c>
      <c r="N108" s="129">
        <v>79</v>
      </c>
      <c r="O108" s="131">
        <v>-7.0588235294117646E-2</v>
      </c>
      <c r="P108" s="129">
        <v>1657</v>
      </c>
      <c r="Q108" s="129">
        <v>1598</v>
      </c>
      <c r="R108" s="131">
        <v>-3.5606517803258901E-2</v>
      </c>
      <c r="S108" s="129">
        <v>1086</v>
      </c>
      <c r="T108" s="129">
        <v>1106</v>
      </c>
      <c r="U108" s="131">
        <v>1.841620626151013E-2</v>
      </c>
      <c r="V108" s="139" t="s">
        <v>97</v>
      </c>
      <c r="W108" s="139" t="s">
        <v>97</v>
      </c>
      <c r="X108" s="139" t="s">
        <v>97</v>
      </c>
      <c r="Y108" s="129">
        <v>1994</v>
      </c>
      <c r="Z108" s="129">
        <v>2059</v>
      </c>
      <c r="AA108" s="131">
        <v>3.2597793380140419E-2</v>
      </c>
      <c r="AB108" s="129">
        <v>9827</v>
      </c>
      <c r="AC108" s="129">
        <v>9706</v>
      </c>
      <c r="AD108" s="131">
        <v>-1.2313015162307929E-2</v>
      </c>
      <c r="AE108" s="139" t="s">
        <v>97</v>
      </c>
      <c r="AF108" s="139" t="s">
        <v>97</v>
      </c>
      <c r="AG108" s="139" t="s">
        <v>97</v>
      </c>
      <c r="AH108" s="139" t="s">
        <v>97</v>
      </c>
      <c r="AI108" s="139" t="s">
        <v>97</v>
      </c>
      <c r="AJ108" s="139" t="s">
        <v>97</v>
      </c>
      <c r="AK108" s="129">
        <v>203</v>
      </c>
      <c r="AL108" s="129">
        <v>197</v>
      </c>
      <c r="AM108" s="131">
        <v>-2.9556650246305421E-2</v>
      </c>
    </row>
    <row r="109" spans="9:39" x14ac:dyDescent="0.25">
      <c r="I109" s="130" t="s">
        <v>167</v>
      </c>
      <c r="J109" s="114">
        <v>4215</v>
      </c>
      <c r="K109" s="114">
        <v>4204</v>
      </c>
      <c r="L109" s="116">
        <v>-2.609727164887307E-3</v>
      </c>
      <c r="M109" s="129">
        <v>23</v>
      </c>
      <c r="N109" s="129">
        <v>19</v>
      </c>
      <c r="O109" s="131">
        <v>-0.17391304347826089</v>
      </c>
      <c r="P109" s="129">
        <v>1156</v>
      </c>
      <c r="Q109" s="129">
        <v>1093</v>
      </c>
      <c r="R109" s="131">
        <v>-5.4498269896193767E-2</v>
      </c>
      <c r="S109" s="129">
        <v>1681</v>
      </c>
      <c r="T109" s="129">
        <v>1703</v>
      </c>
      <c r="U109" s="131">
        <v>1.308744794765021E-2</v>
      </c>
      <c r="V109" s="139" t="s">
        <v>97</v>
      </c>
      <c r="W109" s="139" t="s">
        <v>97</v>
      </c>
      <c r="X109" s="139" t="s">
        <v>97</v>
      </c>
      <c r="Y109" s="129">
        <v>559</v>
      </c>
      <c r="Z109" s="129">
        <v>574</v>
      </c>
      <c r="AA109" s="131">
        <v>2.6833631484794271E-2</v>
      </c>
      <c r="AB109" s="129">
        <v>867</v>
      </c>
      <c r="AC109" s="129">
        <v>860</v>
      </c>
      <c r="AD109" s="131">
        <v>-8.0738177623990767E-3</v>
      </c>
      <c r="AE109" s="139" t="s">
        <v>97</v>
      </c>
      <c r="AF109" s="139" t="s">
        <v>97</v>
      </c>
      <c r="AG109" s="139" t="s">
        <v>97</v>
      </c>
      <c r="AH109" s="139" t="s">
        <v>97</v>
      </c>
      <c r="AI109" s="139" t="s">
        <v>97</v>
      </c>
      <c r="AJ109" s="139" t="s">
        <v>97</v>
      </c>
      <c r="AK109" s="139" t="s">
        <v>97</v>
      </c>
      <c r="AL109" s="139" t="s">
        <v>97</v>
      </c>
      <c r="AM109" s="139" t="s">
        <v>97</v>
      </c>
    </row>
    <row r="110" spans="9:39" x14ac:dyDescent="0.25">
      <c r="I110" s="130" t="s">
        <v>77</v>
      </c>
      <c r="J110" s="114">
        <v>4393</v>
      </c>
      <c r="K110" s="114">
        <v>4083</v>
      </c>
      <c r="L110" s="116">
        <v>-7.0566810835419991E-2</v>
      </c>
      <c r="M110" s="129">
        <v>8</v>
      </c>
      <c r="N110" s="129">
        <v>7</v>
      </c>
      <c r="O110" s="131">
        <v>-0.125</v>
      </c>
      <c r="P110" s="129">
        <v>841</v>
      </c>
      <c r="Q110" s="129">
        <v>745</v>
      </c>
      <c r="R110" s="131">
        <v>-0.1141498216409037</v>
      </c>
      <c r="S110" s="129">
        <v>170</v>
      </c>
      <c r="T110" s="129">
        <v>185</v>
      </c>
      <c r="U110" s="131">
        <v>8.8235294117647065E-2</v>
      </c>
      <c r="V110" s="139" t="s">
        <v>97</v>
      </c>
      <c r="W110" s="139" t="s">
        <v>97</v>
      </c>
      <c r="X110" s="139" t="s">
        <v>97</v>
      </c>
      <c r="Y110" s="129">
        <v>1337</v>
      </c>
      <c r="Z110" s="129">
        <v>1136</v>
      </c>
      <c r="AA110" s="131">
        <v>-0.15033657442034409</v>
      </c>
      <c r="AB110" s="129">
        <v>2067</v>
      </c>
      <c r="AC110" s="129">
        <v>2021</v>
      </c>
      <c r="AD110" s="131">
        <v>-2.2254475084663761E-2</v>
      </c>
      <c r="AE110" s="139" t="s">
        <v>97</v>
      </c>
      <c r="AF110" s="139" t="s">
        <v>97</v>
      </c>
      <c r="AG110" s="139" t="s">
        <v>97</v>
      </c>
      <c r="AH110" s="139" t="s">
        <v>97</v>
      </c>
      <c r="AI110" s="139" t="s">
        <v>97</v>
      </c>
      <c r="AJ110" s="139" t="s">
        <v>97</v>
      </c>
      <c r="AK110" s="139" t="s">
        <v>97</v>
      </c>
      <c r="AL110" s="139" t="s">
        <v>97</v>
      </c>
      <c r="AM110" s="139" t="s">
        <v>97</v>
      </c>
    </row>
    <row r="111" spans="9:39" x14ac:dyDescent="0.25">
      <c r="I111" s="130" t="s">
        <v>78</v>
      </c>
      <c r="J111" s="114">
        <v>15611</v>
      </c>
      <c r="K111" s="114">
        <v>15367</v>
      </c>
      <c r="L111" s="116">
        <v>-1.563000448401768E-2</v>
      </c>
      <c r="M111" s="129">
        <v>118</v>
      </c>
      <c r="N111" s="129">
        <v>125</v>
      </c>
      <c r="O111" s="131">
        <v>5.9322033898305093E-2</v>
      </c>
      <c r="P111" s="129">
        <v>3484</v>
      </c>
      <c r="Q111" s="129">
        <v>3303</v>
      </c>
      <c r="R111" s="131">
        <v>-5.1951779563719859E-2</v>
      </c>
      <c r="S111" s="129">
        <v>1372</v>
      </c>
      <c r="T111" s="129">
        <v>1342</v>
      </c>
      <c r="U111" s="131">
        <v>-2.1865889212827991E-2</v>
      </c>
      <c r="V111" s="139" t="s">
        <v>97</v>
      </c>
      <c r="W111" s="139" t="s">
        <v>97</v>
      </c>
      <c r="X111" s="139" t="s">
        <v>97</v>
      </c>
      <c r="Y111" s="129">
        <v>2484</v>
      </c>
      <c r="Z111" s="129">
        <v>2544</v>
      </c>
      <c r="AA111" s="131">
        <v>2.415458937198068E-2</v>
      </c>
      <c r="AB111" s="129">
        <v>8304</v>
      </c>
      <c r="AC111" s="129">
        <v>8137</v>
      </c>
      <c r="AD111" s="131">
        <v>-2.011078998073218E-2</v>
      </c>
      <c r="AE111" s="129">
        <v>1</v>
      </c>
      <c r="AF111" s="129">
        <v>0</v>
      </c>
      <c r="AG111" s="131">
        <v>-1</v>
      </c>
      <c r="AH111" s="139" t="s">
        <v>97</v>
      </c>
      <c r="AI111" s="139" t="s">
        <v>97</v>
      </c>
      <c r="AJ111" s="139" t="s">
        <v>97</v>
      </c>
      <c r="AK111" s="129">
        <v>3</v>
      </c>
      <c r="AL111" s="129">
        <v>5</v>
      </c>
      <c r="AM111" s="131">
        <v>0.66666666666666663</v>
      </c>
    </row>
    <row r="112" spans="9:39" x14ac:dyDescent="0.25">
      <c r="I112" s="130" t="s">
        <v>79</v>
      </c>
      <c r="J112" s="114">
        <v>640</v>
      </c>
      <c r="K112" s="114">
        <v>628</v>
      </c>
      <c r="L112" s="116">
        <v>-1.8749999999999999E-2</v>
      </c>
      <c r="M112" s="129">
        <v>7</v>
      </c>
      <c r="N112" s="129">
        <v>7</v>
      </c>
      <c r="O112" s="131">
        <v>0</v>
      </c>
      <c r="P112" s="129">
        <v>130</v>
      </c>
      <c r="Q112" s="129">
        <v>122</v>
      </c>
      <c r="R112" s="131">
        <v>-6.1538461538461542E-2</v>
      </c>
      <c r="S112" s="129">
        <v>158</v>
      </c>
      <c r="T112" s="129">
        <v>152</v>
      </c>
      <c r="U112" s="131">
        <v>-3.7974683544303799E-2</v>
      </c>
      <c r="V112" s="129">
        <v>1</v>
      </c>
      <c r="W112" s="129">
        <v>1</v>
      </c>
      <c r="X112" s="131">
        <v>0</v>
      </c>
      <c r="Y112" s="129">
        <v>16</v>
      </c>
      <c r="Z112" s="129">
        <v>17</v>
      </c>
      <c r="AA112" s="131">
        <v>6.25E-2</v>
      </c>
      <c r="AB112" s="129">
        <v>49</v>
      </c>
      <c r="AC112" s="129">
        <v>45</v>
      </c>
      <c r="AD112" s="131">
        <v>-8.1632653061224483E-2</v>
      </c>
      <c r="AE112" s="139" t="s">
        <v>97</v>
      </c>
      <c r="AF112" s="139" t="s">
        <v>97</v>
      </c>
      <c r="AG112" s="139" t="s">
        <v>97</v>
      </c>
      <c r="AH112" s="139" t="s">
        <v>97</v>
      </c>
      <c r="AI112" s="139" t="s">
        <v>97</v>
      </c>
      <c r="AJ112" s="139" t="s">
        <v>97</v>
      </c>
      <c r="AK112" s="129">
        <v>282</v>
      </c>
      <c r="AL112" s="129">
        <v>286</v>
      </c>
      <c r="AM112" s="131">
        <v>1.4184397163120571E-2</v>
      </c>
    </row>
    <row r="113" spans="9:39" x14ac:dyDescent="0.25">
      <c r="I113" s="130" t="s">
        <v>80</v>
      </c>
      <c r="J113" s="114">
        <v>1569</v>
      </c>
      <c r="K113" s="114">
        <v>1574</v>
      </c>
      <c r="L113" s="116">
        <v>3.186743148502231E-3</v>
      </c>
      <c r="M113" s="139" t="s">
        <v>97</v>
      </c>
      <c r="N113" s="139" t="s">
        <v>97</v>
      </c>
      <c r="O113" s="139" t="s">
        <v>97</v>
      </c>
      <c r="P113" s="129">
        <v>301</v>
      </c>
      <c r="Q113" s="129">
        <v>301</v>
      </c>
      <c r="R113" s="131">
        <v>0</v>
      </c>
      <c r="S113" s="129">
        <v>229</v>
      </c>
      <c r="T113" s="129">
        <v>222</v>
      </c>
      <c r="U113" s="131">
        <v>-3.0567685589519649E-2</v>
      </c>
      <c r="V113" s="139" t="s">
        <v>97</v>
      </c>
      <c r="W113" s="139" t="s">
        <v>97</v>
      </c>
      <c r="X113" s="139" t="s">
        <v>97</v>
      </c>
      <c r="Y113" s="129">
        <v>342</v>
      </c>
      <c r="Z113" s="129">
        <v>324</v>
      </c>
      <c r="AA113" s="131">
        <v>-5.2631578947368418E-2</v>
      </c>
      <c r="AB113" s="129">
        <v>711</v>
      </c>
      <c r="AC113" s="129">
        <v>732</v>
      </c>
      <c r="AD113" s="131">
        <v>2.953586497890295E-2</v>
      </c>
      <c r="AE113" s="139" t="s">
        <v>97</v>
      </c>
      <c r="AF113" s="139" t="s">
        <v>97</v>
      </c>
      <c r="AG113" s="139" t="s">
        <v>97</v>
      </c>
      <c r="AH113" s="139" t="s">
        <v>97</v>
      </c>
      <c r="AI113" s="139" t="s">
        <v>97</v>
      </c>
      <c r="AJ113" s="139" t="s">
        <v>97</v>
      </c>
      <c r="AK113" s="139" t="s">
        <v>97</v>
      </c>
      <c r="AL113" s="139" t="s">
        <v>97</v>
      </c>
      <c r="AM113" s="139" t="s">
        <v>97</v>
      </c>
    </row>
    <row r="114" spans="9:39" x14ac:dyDescent="0.25">
      <c r="I114" s="130" t="s">
        <v>168</v>
      </c>
      <c r="J114" s="114">
        <v>4696</v>
      </c>
      <c r="K114" s="114">
        <v>4719</v>
      </c>
      <c r="L114" s="116">
        <v>4.8977853492333896E-3</v>
      </c>
      <c r="M114" s="129">
        <v>52</v>
      </c>
      <c r="N114" s="129">
        <v>44</v>
      </c>
      <c r="O114" s="131">
        <v>-0.15384615384615391</v>
      </c>
      <c r="P114" s="129">
        <v>1509</v>
      </c>
      <c r="Q114" s="129">
        <v>1482</v>
      </c>
      <c r="R114" s="131">
        <v>-1.789264413518887E-2</v>
      </c>
      <c r="S114" s="129">
        <v>554</v>
      </c>
      <c r="T114" s="129">
        <v>566</v>
      </c>
      <c r="U114" s="131">
        <v>2.166064981949458E-2</v>
      </c>
      <c r="V114" s="139" t="s">
        <v>97</v>
      </c>
      <c r="W114" s="139" t="s">
        <v>97</v>
      </c>
      <c r="X114" s="139" t="s">
        <v>97</v>
      </c>
      <c r="Y114" s="129">
        <v>860</v>
      </c>
      <c r="Z114" s="129">
        <v>856</v>
      </c>
      <c r="AA114" s="131">
        <v>-4.6511627906976744E-3</v>
      </c>
      <c r="AB114" s="129">
        <v>1772</v>
      </c>
      <c r="AC114" s="129">
        <v>1799</v>
      </c>
      <c r="AD114" s="131">
        <v>1.523702031602709E-2</v>
      </c>
      <c r="AE114" s="139" t="s">
        <v>97</v>
      </c>
      <c r="AF114" s="139" t="s">
        <v>97</v>
      </c>
      <c r="AG114" s="139" t="s">
        <v>97</v>
      </c>
      <c r="AH114" s="139" t="s">
        <v>97</v>
      </c>
      <c r="AI114" s="139" t="s">
        <v>97</v>
      </c>
      <c r="AJ114" s="139" t="s">
        <v>97</v>
      </c>
      <c r="AK114" s="139" t="s">
        <v>97</v>
      </c>
      <c r="AL114" s="139" t="s">
        <v>97</v>
      </c>
      <c r="AM114" s="139" t="s">
        <v>97</v>
      </c>
    </row>
    <row r="115" spans="9:39" x14ac:dyDescent="0.25">
      <c r="I115" s="130" t="s">
        <v>83</v>
      </c>
      <c r="J115" s="114">
        <v>1267</v>
      </c>
      <c r="K115" s="114">
        <v>1281</v>
      </c>
      <c r="L115" s="116">
        <v>1.104972375690608E-2</v>
      </c>
      <c r="M115" s="129">
        <v>7</v>
      </c>
      <c r="N115" s="129">
        <v>8</v>
      </c>
      <c r="O115" s="131">
        <v>0.14285714285714279</v>
      </c>
      <c r="P115" s="129">
        <v>405</v>
      </c>
      <c r="Q115" s="129">
        <v>411</v>
      </c>
      <c r="R115" s="131">
        <v>1.4814814814814821E-2</v>
      </c>
      <c r="S115" s="129">
        <v>226</v>
      </c>
      <c r="T115" s="129">
        <v>243</v>
      </c>
      <c r="U115" s="131">
        <v>7.5221238938053103E-2</v>
      </c>
      <c r="V115" s="139" t="s">
        <v>97</v>
      </c>
      <c r="W115" s="139" t="s">
        <v>97</v>
      </c>
      <c r="X115" s="139" t="s">
        <v>97</v>
      </c>
      <c r="Y115" s="129">
        <v>220</v>
      </c>
      <c r="Z115" s="129">
        <v>211</v>
      </c>
      <c r="AA115" s="131">
        <v>-4.0909090909090909E-2</v>
      </c>
      <c r="AB115" s="129">
        <v>420</v>
      </c>
      <c r="AC115" s="129">
        <v>415</v>
      </c>
      <c r="AD115" s="131">
        <v>-1.1904761904761901E-2</v>
      </c>
      <c r="AE115" s="139" t="s">
        <v>97</v>
      </c>
      <c r="AF115" s="139" t="s">
        <v>97</v>
      </c>
      <c r="AG115" s="139" t="s">
        <v>97</v>
      </c>
      <c r="AH115" s="139" t="s">
        <v>97</v>
      </c>
      <c r="AI115" s="139" t="s">
        <v>97</v>
      </c>
      <c r="AJ115" s="139" t="s">
        <v>97</v>
      </c>
      <c r="AK115" s="139" t="s">
        <v>97</v>
      </c>
      <c r="AL115" s="139" t="s">
        <v>97</v>
      </c>
      <c r="AM115" s="139" t="s">
        <v>97</v>
      </c>
    </row>
    <row r="116" spans="9:39" x14ac:dyDescent="0.25">
      <c r="I116" s="130" t="s">
        <v>84</v>
      </c>
      <c r="J116" s="114">
        <v>8563</v>
      </c>
      <c r="K116" s="114">
        <v>8582</v>
      </c>
      <c r="L116" s="116">
        <v>2.2188485343921519E-3</v>
      </c>
      <c r="M116" s="129">
        <v>61</v>
      </c>
      <c r="N116" s="129">
        <v>55</v>
      </c>
      <c r="O116" s="131">
        <v>-9.8360655737704916E-2</v>
      </c>
      <c r="P116" s="129">
        <v>2952</v>
      </c>
      <c r="Q116" s="129">
        <v>2827</v>
      </c>
      <c r="R116" s="131">
        <v>-4.2344173441734419E-2</v>
      </c>
      <c r="S116" s="129">
        <v>3018</v>
      </c>
      <c r="T116" s="129">
        <v>2932</v>
      </c>
      <c r="U116" s="131">
        <v>-2.849569251159708E-2</v>
      </c>
      <c r="V116" s="139" t="s">
        <v>97</v>
      </c>
      <c r="W116" s="139" t="s">
        <v>97</v>
      </c>
      <c r="X116" s="139" t="s">
        <v>97</v>
      </c>
      <c r="Y116" s="129">
        <v>923</v>
      </c>
      <c r="Z116" s="129">
        <v>950</v>
      </c>
      <c r="AA116" s="131">
        <v>2.9252437703141929E-2</v>
      </c>
      <c r="AB116" s="129">
        <v>1715</v>
      </c>
      <c r="AC116" s="129">
        <v>1928</v>
      </c>
      <c r="AD116" s="131">
        <v>0.12419825072886299</v>
      </c>
      <c r="AE116" s="139" t="s">
        <v>97</v>
      </c>
      <c r="AF116" s="139" t="s">
        <v>97</v>
      </c>
      <c r="AG116" s="139" t="s">
        <v>97</v>
      </c>
      <c r="AH116" s="139" t="s">
        <v>97</v>
      </c>
      <c r="AI116" s="139" t="s">
        <v>97</v>
      </c>
      <c r="AJ116" s="139" t="s">
        <v>97</v>
      </c>
      <c r="AK116" s="129">
        <v>8</v>
      </c>
      <c r="AL116" s="129">
        <v>8</v>
      </c>
      <c r="AM116" s="131">
        <v>0</v>
      </c>
    </row>
    <row r="117" spans="9:39" x14ac:dyDescent="0.25">
      <c r="I117" s="130" t="s">
        <v>169</v>
      </c>
      <c r="J117" s="114">
        <v>22937</v>
      </c>
      <c r="K117" s="114">
        <v>23018</v>
      </c>
      <c r="L117" s="116">
        <v>3.531412128874744E-3</v>
      </c>
      <c r="M117" s="129">
        <v>227</v>
      </c>
      <c r="N117" s="129">
        <v>222</v>
      </c>
      <c r="O117" s="131">
        <v>-2.2026431718061679E-2</v>
      </c>
      <c r="P117" s="129">
        <v>3812</v>
      </c>
      <c r="Q117" s="129">
        <v>3858</v>
      </c>
      <c r="R117" s="131">
        <v>1.206715634837356E-2</v>
      </c>
      <c r="S117" s="129">
        <v>3787</v>
      </c>
      <c r="T117" s="129">
        <v>2827</v>
      </c>
      <c r="U117" s="131">
        <v>-0.25349881172431998</v>
      </c>
      <c r="V117" s="139" t="s">
        <v>97</v>
      </c>
      <c r="W117" s="139" t="s">
        <v>97</v>
      </c>
      <c r="X117" s="139" t="s">
        <v>97</v>
      </c>
      <c r="Y117" s="129">
        <v>3241</v>
      </c>
      <c r="Z117" s="129">
        <v>2843</v>
      </c>
      <c r="AA117" s="131">
        <v>-0.1228016044430731</v>
      </c>
      <c r="AB117" s="129">
        <v>12129</v>
      </c>
      <c r="AC117" s="129">
        <v>13386</v>
      </c>
      <c r="AD117" s="131">
        <v>0.103635913925303</v>
      </c>
      <c r="AE117" s="129">
        <v>15</v>
      </c>
      <c r="AF117" s="129">
        <v>19</v>
      </c>
      <c r="AG117" s="131">
        <v>0.26666666666666672</v>
      </c>
      <c r="AH117" s="139" t="s">
        <v>97</v>
      </c>
      <c r="AI117" s="139" t="s">
        <v>97</v>
      </c>
      <c r="AJ117" s="139" t="s">
        <v>97</v>
      </c>
      <c r="AK117" s="129">
        <v>46</v>
      </c>
      <c r="AL117" s="129">
        <v>43</v>
      </c>
      <c r="AM117" s="131">
        <v>-6.5217391304347824E-2</v>
      </c>
    </row>
    <row r="118" spans="9:39" x14ac:dyDescent="0.25">
      <c r="I118" s="130" t="s">
        <v>170</v>
      </c>
      <c r="J118" s="114">
        <v>4480</v>
      </c>
      <c r="K118" s="114">
        <v>4531</v>
      </c>
      <c r="L118" s="116">
        <v>1.1383928571428569E-2</v>
      </c>
      <c r="M118" s="129">
        <v>1</v>
      </c>
      <c r="N118" s="129">
        <v>1</v>
      </c>
      <c r="O118" s="131">
        <v>0</v>
      </c>
      <c r="P118" s="129">
        <v>457</v>
      </c>
      <c r="Q118" s="129">
        <v>375</v>
      </c>
      <c r="R118" s="131">
        <v>-0.17943107221006571</v>
      </c>
      <c r="S118" s="129">
        <v>48</v>
      </c>
      <c r="T118" s="129">
        <v>53</v>
      </c>
      <c r="U118" s="131">
        <v>0.1041666666666667</v>
      </c>
      <c r="V118" s="139" t="s">
        <v>97</v>
      </c>
      <c r="W118" s="139" t="s">
        <v>97</v>
      </c>
      <c r="X118" s="139" t="s">
        <v>97</v>
      </c>
      <c r="Y118" s="129">
        <v>2361</v>
      </c>
      <c r="Z118" s="129">
        <v>2421</v>
      </c>
      <c r="AA118" s="131">
        <v>2.5412960609911051E-2</v>
      </c>
      <c r="AB118" s="129">
        <v>1633</v>
      </c>
      <c r="AC118" s="129">
        <v>1690</v>
      </c>
      <c r="AD118" s="131">
        <v>3.4905082669932641E-2</v>
      </c>
      <c r="AE118" s="139" t="s">
        <v>97</v>
      </c>
      <c r="AF118" s="139" t="s">
        <v>97</v>
      </c>
      <c r="AG118" s="139" t="s">
        <v>97</v>
      </c>
      <c r="AH118" s="139" t="s">
        <v>97</v>
      </c>
      <c r="AI118" s="139" t="s">
        <v>97</v>
      </c>
      <c r="AJ118" s="139" t="s">
        <v>97</v>
      </c>
      <c r="AK118" s="139" t="s">
        <v>97</v>
      </c>
      <c r="AL118" s="139" t="s">
        <v>97</v>
      </c>
      <c r="AM118" s="139" t="s">
        <v>97</v>
      </c>
    </row>
    <row r="119" spans="9:39" x14ac:dyDescent="0.25">
      <c r="I119" s="130" t="s">
        <v>89</v>
      </c>
      <c r="J119" s="114">
        <v>792</v>
      </c>
      <c r="K119" s="114">
        <v>771</v>
      </c>
      <c r="L119" s="116">
        <v>-2.6515151515151519E-2</v>
      </c>
      <c r="M119" s="129">
        <v>2</v>
      </c>
      <c r="N119" s="129">
        <v>2</v>
      </c>
      <c r="O119" s="131">
        <v>0</v>
      </c>
      <c r="P119" s="129">
        <v>130</v>
      </c>
      <c r="Q119" s="129">
        <v>115</v>
      </c>
      <c r="R119" s="131">
        <v>-0.1153846153846154</v>
      </c>
      <c r="S119" s="129">
        <v>157</v>
      </c>
      <c r="T119" s="129">
        <v>148</v>
      </c>
      <c r="U119" s="131">
        <v>-5.7324840764331211E-2</v>
      </c>
      <c r="V119" s="139" t="s">
        <v>97</v>
      </c>
      <c r="W119" s="139" t="s">
        <v>97</v>
      </c>
      <c r="X119" s="139" t="s">
        <v>97</v>
      </c>
      <c r="Y119" s="129">
        <v>245</v>
      </c>
      <c r="Z119" s="129">
        <v>243</v>
      </c>
      <c r="AA119" s="131">
        <v>-8.1632653061224497E-3</v>
      </c>
      <c r="AB119" s="129">
        <v>283</v>
      </c>
      <c r="AC119" s="129">
        <v>276</v>
      </c>
      <c r="AD119" s="131">
        <v>-2.4734982332155479E-2</v>
      </c>
      <c r="AE119" s="139" t="s">
        <v>97</v>
      </c>
      <c r="AF119" s="139" t="s">
        <v>97</v>
      </c>
      <c r="AG119" s="139" t="s">
        <v>97</v>
      </c>
      <c r="AH119" s="139" t="s">
        <v>97</v>
      </c>
      <c r="AI119" s="139" t="s">
        <v>97</v>
      </c>
      <c r="AJ119" s="139" t="s">
        <v>97</v>
      </c>
      <c r="AK119" s="139" t="s">
        <v>97</v>
      </c>
      <c r="AL119" s="139" t="s">
        <v>97</v>
      </c>
      <c r="AM119" s="139" t="s">
        <v>97</v>
      </c>
    </row>
    <row r="120" spans="9:39" x14ac:dyDescent="0.25">
      <c r="I120" s="130" t="s">
        <v>90</v>
      </c>
      <c r="J120" s="114">
        <v>55</v>
      </c>
      <c r="K120" s="114">
        <v>50</v>
      </c>
      <c r="L120" s="116">
        <v>-9.0909090909090912E-2</v>
      </c>
      <c r="M120" s="139" t="s">
        <v>97</v>
      </c>
      <c r="N120" s="139" t="s">
        <v>97</v>
      </c>
      <c r="O120" s="139" t="s">
        <v>97</v>
      </c>
      <c r="P120" s="129">
        <v>17</v>
      </c>
      <c r="Q120" s="129">
        <v>18</v>
      </c>
      <c r="R120" s="131">
        <v>5.8823529411764712E-2</v>
      </c>
      <c r="S120" s="129">
        <v>5</v>
      </c>
      <c r="T120" s="129">
        <v>6</v>
      </c>
      <c r="U120" s="131">
        <v>0.2</v>
      </c>
      <c r="V120" s="139" t="s">
        <v>97</v>
      </c>
      <c r="W120" s="139" t="s">
        <v>97</v>
      </c>
      <c r="X120" s="139" t="s">
        <v>97</v>
      </c>
      <c r="Y120" s="129">
        <v>20</v>
      </c>
      <c r="Z120" s="129">
        <v>15</v>
      </c>
      <c r="AA120" s="131">
        <v>-0.25</v>
      </c>
      <c r="AB120" s="129">
        <v>13</v>
      </c>
      <c r="AC120" s="129">
        <v>11</v>
      </c>
      <c r="AD120" s="131">
        <v>-0.15384615384615391</v>
      </c>
      <c r="AE120" s="139" t="s">
        <v>97</v>
      </c>
      <c r="AF120" s="139" t="s">
        <v>97</v>
      </c>
      <c r="AG120" s="139" t="s">
        <v>97</v>
      </c>
      <c r="AH120" s="139" t="s">
        <v>97</v>
      </c>
      <c r="AI120" s="139" t="s">
        <v>97</v>
      </c>
      <c r="AJ120" s="139" t="s">
        <v>97</v>
      </c>
      <c r="AK120" s="139" t="s">
        <v>97</v>
      </c>
      <c r="AL120" s="139" t="s">
        <v>97</v>
      </c>
      <c r="AM120" s="139" t="s">
        <v>97</v>
      </c>
    </row>
    <row r="121" spans="9:39" x14ac:dyDescent="0.25">
      <c r="I121" s="130" t="s">
        <v>91</v>
      </c>
      <c r="J121" s="114">
        <v>9669</v>
      </c>
      <c r="K121" s="114">
        <v>9416</v>
      </c>
      <c r="L121" s="116">
        <v>-2.6166097838452789E-2</v>
      </c>
      <c r="M121" s="129">
        <v>101</v>
      </c>
      <c r="N121" s="129">
        <v>102</v>
      </c>
      <c r="O121" s="131">
        <v>9.9009900990099011E-3</v>
      </c>
      <c r="P121" s="129">
        <v>2042</v>
      </c>
      <c r="Q121" s="129">
        <v>1932</v>
      </c>
      <c r="R121" s="131">
        <v>-5.3868756121449562E-2</v>
      </c>
      <c r="S121" s="129">
        <v>1514</v>
      </c>
      <c r="T121" s="129">
        <v>1475</v>
      </c>
      <c r="U121" s="131">
        <v>-2.5759577278731838E-2</v>
      </c>
      <c r="V121" s="139" t="s">
        <v>97</v>
      </c>
      <c r="W121" s="139" t="s">
        <v>97</v>
      </c>
      <c r="X121" s="139" t="s">
        <v>97</v>
      </c>
      <c r="Y121" s="129">
        <v>3285</v>
      </c>
      <c r="Z121" s="129">
        <v>3186</v>
      </c>
      <c r="AA121" s="131">
        <v>-3.0136986301369861E-2</v>
      </c>
      <c r="AB121" s="129">
        <v>2856</v>
      </c>
      <c r="AC121" s="129">
        <v>2777</v>
      </c>
      <c r="AD121" s="131">
        <v>-2.766106442577031E-2</v>
      </c>
      <c r="AE121" s="139" t="s">
        <v>97</v>
      </c>
      <c r="AF121" s="139" t="s">
        <v>97</v>
      </c>
      <c r="AG121" s="139" t="s">
        <v>97</v>
      </c>
      <c r="AH121" s="139" t="s">
        <v>97</v>
      </c>
      <c r="AI121" s="139" t="s">
        <v>97</v>
      </c>
      <c r="AJ121" s="139" t="s">
        <v>97</v>
      </c>
      <c r="AK121" s="139" t="s">
        <v>97</v>
      </c>
      <c r="AL121" s="139" t="s">
        <v>97</v>
      </c>
      <c r="AM121" s="139" t="s">
        <v>97</v>
      </c>
    </row>
    <row r="122" spans="9:39" x14ac:dyDescent="0.25">
      <c r="I122" s="130" t="s">
        <v>92</v>
      </c>
      <c r="J122" s="114">
        <v>8713</v>
      </c>
      <c r="K122" s="114">
        <v>8133</v>
      </c>
      <c r="L122" s="116">
        <v>-6.6567198439113962E-2</v>
      </c>
      <c r="M122" s="129">
        <v>29</v>
      </c>
      <c r="N122" s="129">
        <v>28</v>
      </c>
      <c r="O122" s="131">
        <v>-3.4482758620689648E-2</v>
      </c>
      <c r="P122" s="129">
        <v>2329</v>
      </c>
      <c r="Q122" s="129">
        <v>1936</v>
      </c>
      <c r="R122" s="131">
        <v>-0.16874194933447831</v>
      </c>
      <c r="S122" s="129">
        <v>207</v>
      </c>
      <c r="T122" s="129">
        <v>205</v>
      </c>
      <c r="U122" s="131">
        <v>-9.6618357487922701E-3</v>
      </c>
      <c r="V122" s="139" t="s">
        <v>97</v>
      </c>
      <c r="W122" s="139" t="s">
        <v>97</v>
      </c>
      <c r="X122" s="139" t="s">
        <v>97</v>
      </c>
      <c r="Y122" s="129">
        <v>2797</v>
      </c>
      <c r="Z122" s="129">
        <v>2666</v>
      </c>
      <c r="AA122" s="131">
        <v>-4.6835895602431177E-2</v>
      </c>
      <c r="AB122" s="129">
        <v>3471</v>
      </c>
      <c r="AC122" s="129">
        <v>3333</v>
      </c>
      <c r="AD122" s="131">
        <v>-3.9757994814174587E-2</v>
      </c>
      <c r="AE122" s="139" t="s">
        <v>97</v>
      </c>
      <c r="AF122" s="139" t="s">
        <v>97</v>
      </c>
      <c r="AG122" s="139" t="s">
        <v>97</v>
      </c>
      <c r="AH122" s="139" t="s">
        <v>97</v>
      </c>
      <c r="AI122" s="139" t="s">
        <v>97</v>
      </c>
      <c r="AJ122" s="139" t="s">
        <v>97</v>
      </c>
      <c r="AK122" s="139" t="s">
        <v>97</v>
      </c>
      <c r="AL122" s="139" t="s">
        <v>97</v>
      </c>
      <c r="AM122" s="139" t="s">
        <v>97</v>
      </c>
    </row>
    <row r="123" spans="9:39" x14ac:dyDescent="0.25">
      <c r="I123" s="130" t="s">
        <v>93</v>
      </c>
      <c r="J123" s="114">
        <v>1715</v>
      </c>
      <c r="K123" s="114">
        <v>1724</v>
      </c>
      <c r="L123" s="116">
        <v>5.2478134110787184E-3</v>
      </c>
      <c r="M123" s="129">
        <v>11</v>
      </c>
      <c r="N123" s="129">
        <v>8</v>
      </c>
      <c r="O123" s="131">
        <v>-0.27272727272727271</v>
      </c>
      <c r="P123" s="129">
        <v>773</v>
      </c>
      <c r="Q123" s="129">
        <v>781</v>
      </c>
      <c r="R123" s="131">
        <v>1.034928848641656E-2</v>
      </c>
      <c r="S123" s="129">
        <v>312</v>
      </c>
      <c r="T123" s="129">
        <v>303</v>
      </c>
      <c r="U123" s="131">
        <v>-2.8846153846153851E-2</v>
      </c>
      <c r="V123" s="139" t="s">
        <v>97</v>
      </c>
      <c r="W123" s="139" t="s">
        <v>97</v>
      </c>
      <c r="X123" s="139" t="s">
        <v>97</v>
      </c>
      <c r="Y123" s="129">
        <v>145</v>
      </c>
      <c r="Z123" s="129">
        <v>146</v>
      </c>
      <c r="AA123" s="131">
        <v>6.8965517241379309E-3</v>
      </c>
      <c r="AB123" s="129">
        <v>487</v>
      </c>
      <c r="AC123" s="129">
        <v>494</v>
      </c>
      <c r="AD123" s="131">
        <v>1.437371663244353E-2</v>
      </c>
      <c r="AE123" s="139" t="s">
        <v>97</v>
      </c>
      <c r="AF123" s="139" t="s">
        <v>97</v>
      </c>
      <c r="AG123" s="139" t="s">
        <v>97</v>
      </c>
      <c r="AH123" s="139" t="s">
        <v>97</v>
      </c>
      <c r="AI123" s="139" t="s">
        <v>97</v>
      </c>
      <c r="AJ123" s="139" t="s">
        <v>97</v>
      </c>
      <c r="AK123" s="139" t="s">
        <v>97</v>
      </c>
      <c r="AL123" s="139" t="s">
        <v>97</v>
      </c>
      <c r="AM123" s="139" t="s">
        <v>97</v>
      </c>
    </row>
    <row r="124" spans="9:39" x14ac:dyDescent="0.25">
      <c r="I124" s="130" t="s">
        <v>94</v>
      </c>
      <c r="J124" s="114">
        <v>7732</v>
      </c>
      <c r="K124" s="114">
        <v>7675</v>
      </c>
      <c r="L124" s="116">
        <v>-7.3719606828763582E-3</v>
      </c>
      <c r="M124" s="129">
        <v>48</v>
      </c>
      <c r="N124" s="129">
        <v>45</v>
      </c>
      <c r="O124" s="131">
        <v>-6.25E-2</v>
      </c>
      <c r="P124" s="129">
        <v>1747</v>
      </c>
      <c r="Q124" s="129">
        <v>1786</v>
      </c>
      <c r="R124" s="131">
        <v>2.2323983972524331E-2</v>
      </c>
      <c r="S124" s="129">
        <v>472</v>
      </c>
      <c r="T124" s="129">
        <v>469</v>
      </c>
      <c r="U124" s="131">
        <v>-6.3559322033898309E-3</v>
      </c>
      <c r="V124" s="139" t="s">
        <v>97</v>
      </c>
      <c r="W124" s="139" t="s">
        <v>97</v>
      </c>
      <c r="X124" s="139" t="s">
        <v>97</v>
      </c>
      <c r="Y124" s="129">
        <v>2085</v>
      </c>
      <c r="Z124" s="129">
        <v>2036</v>
      </c>
      <c r="AA124" s="131">
        <v>-2.350119904076739E-2</v>
      </c>
      <c r="AB124" s="129">
        <v>3467</v>
      </c>
      <c r="AC124" s="129">
        <v>3382</v>
      </c>
      <c r="AD124" s="131">
        <v>-2.4516873377559849E-2</v>
      </c>
      <c r="AE124" s="139" t="s">
        <v>97</v>
      </c>
      <c r="AF124" s="139" t="s">
        <v>97</v>
      </c>
      <c r="AG124" s="139" t="s">
        <v>97</v>
      </c>
      <c r="AH124" s="139" t="s">
        <v>97</v>
      </c>
      <c r="AI124" s="139" t="s">
        <v>97</v>
      </c>
      <c r="AJ124" s="139" t="s">
        <v>97</v>
      </c>
      <c r="AK124" s="129">
        <v>1</v>
      </c>
      <c r="AL124" s="129">
        <v>0</v>
      </c>
      <c r="AM124" s="131">
        <v>-1</v>
      </c>
    </row>
    <row r="125" spans="9:39" x14ac:dyDescent="0.25">
      <c r="I125" s="130" t="s">
        <v>95</v>
      </c>
      <c r="J125" s="114">
        <v>855</v>
      </c>
      <c r="K125" s="114">
        <v>859</v>
      </c>
      <c r="L125" s="116">
        <v>4.6783625730994153E-3</v>
      </c>
      <c r="M125" s="129">
        <v>3</v>
      </c>
      <c r="N125" s="129">
        <v>2</v>
      </c>
      <c r="O125" s="131">
        <v>-0.33333333333333331</v>
      </c>
      <c r="P125" s="129">
        <v>147</v>
      </c>
      <c r="Q125" s="129">
        <v>149</v>
      </c>
      <c r="R125" s="131">
        <v>1.360544217687075E-2</v>
      </c>
      <c r="S125" s="129">
        <v>229</v>
      </c>
      <c r="T125" s="129">
        <v>216</v>
      </c>
      <c r="U125" s="131">
        <v>-5.6768558951965073E-2</v>
      </c>
      <c r="V125" s="139" t="s">
        <v>97</v>
      </c>
      <c r="W125" s="139" t="s">
        <v>97</v>
      </c>
      <c r="X125" s="139" t="s">
        <v>97</v>
      </c>
      <c r="Y125" s="129">
        <v>211</v>
      </c>
      <c r="Z125" s="129">
        <v>224</v>
      </c>
      <c r="AA125" s="131">
        <v>6.1611374407582943E-2</v>
      </c>
      <c r="AB125" s="129">
        <v>283</v>
      </c>
      <c r="AC125" s="129">
        <v>276</v>
      </c>
      <c r="AD125" s="131">
        <v>-2.4734982332155479E-2</v>
      </c>
      <c r="AE125" s="139" t="s">
        <v>97</v>
      </c>
      <c r="AF125" s="139" t="s">
        <v>97</v>
      </c>
      <c r="AG125" s="139" t="s">
        <v>97</v>
      </c>
      <c r="AH125" s="139" t="s">
        <v>97</v>
      </c>
      <c r="AI125" s="139" t="s">
        <v>97</v>
      </c>
      <c r="AJ125" s="139" t="s">
        <v>97</v>
      </c>
      <c r="AK125" s="139" t="s">
        <v>97</v>
      </c>
      <c r="AL125" s="139" t="s">
        <v>97</v>
      </c>
      <c r="AM125" s="139" t="s">
        <v>97</v>
      </c>
    </row>
  </sheetData>
  <mergeCells count="1">
    <mergeCell ref="A60:G60"/>
  </mergeCells>
  <pageMargins left="0.7" right="0.7" top="0.75" bottom="0.75" header="0.3" footer="0.3"/>
  <pageSetup orientation="portrait" r:id="rId1"/>
  <headerFooter>
    <oddHeader>&amp;C&amp;"Calibri"&amp;10&amp;K000000 Internal Use Only&amp;1#_x000D_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ocumentAbstract xmlns="30ab74f1-bf1b-4077-bf67-a119186b9416" xsi:nil="true"/>
    <ReportOrder xmlns="30ab74f1-bf1b-4077-bf67-a119186b9416">30</ReportOrder>
    <_dlc_DocId xmlns="044214af-1120-4e04-b1ee-592d9d5e7936">US3Z3JCZ7ZZM-1249918763-302</_dlc_DocId>
    <_dlc_DocIdUrl xmlns="044214af-1120-4e04-b1ee-592d9d5e7936">
      <Url>https://mortgage.nationwidelicensingsystem.org/knowledge/Products/nmls/aboutNMLS/_layouts/15/DocIdRedir.aspx?ID=US3Z3JCZ7ZZM-1249918763-302</Url>
      <Description>US3Z3JCZ7ZZM-1249918763-302</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4C2AA7025CB648862C89E27864EE7B" ma:contentTypeVersion="2" ma:contentTypeDescription="Create a new document." ma:contentTypeScope="" ma:versionID="7a76883663e786dc3f0083d097d77711">
  <xsd:schema xmlns:xsd="http://www.w3.org/2001/XMLSchema" xmlns:xs="http://www.w3.org/2001/XMLSchema" xmlns:p="http://schemas.microsoft.com/office/2006/metadata/properties" xmlns:ns2="044214af-1120-4e04-b1ee-592d9d5e7936" xmlns:ns3="30ab74f1-bf1b-4077-bf67-a119186b9416" targetNamespace="http://schemas.microsoft.com/office/2006/metadata/properties" ma:root="true" ma:fieldsID="af261bec5dfd0619fea56b6eb7847de0" ns2:_="" ns3:_="">
    <xsd:import namespace="044214af-1120-4e04-b1ee-592d9d5e7936"/>
    <xsd:import namespace="30ab74f1-bf1b-4077-bf67-a119186b9416"/>
    <xsd:element name="properties">
      <xsd:complexType>
        <xsd:sequence>
          <xsd:element name="documentManagement">
            <xsd:complexType>
              <xsd:all>
                <xsd:element ref="ns2:_dlc_DocId" minOccurs="0"/>
                <xsd:element ref="ns2:_dlc_DocIdUrl" minOccurs="0"/>
                <xsd:element ref="ns2:_dlc_DocIdPersistId" minOccurs="0"/>
                <xsd:element ref="ns3:DocumentAbstract" minOccurs="0"/>
                <xsd:element ref="ns3:Rep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4214af-1120-4e04-b1ee-592d9d5e793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0ab74f1-bf1b-4077-bf67-a119186b9416" elementFormDefault="qualified">
    <xsd:import namespace="http://schemas.microsoft.com/office/2006/documentManagement/types"/>
    <xsd:import namespace="http://schemas.microsoft.com/office/infopath/2007/PartnerControls"/>
    <xsd:element name="DocumentAbstract" ma:index="11" nillable="true" ma:displayName="DocumentAbstract" ma:description="This zip archive contains six comma-separated values (.csv) files with data derived from the NMLS, including Mortgage Call Report (MCR) data. Each file is organized by state regulatory agency, year, and quarter. A fuller description of each file is found in the readme.txt file contained in the zip archive." ma:internalName="DocumentAbstract">
      <xsd:simpleType>
        <xsd:restriction base="dms:Note">
          <xsd:maxLength value="255"/>
        </xsd:restriction>
      </xsd:simpleType>
    </xsd:element>
    <xsd:element name="ReportOrder" ma:index="12" nillable="true" ma:displayName="ReportOrder" ma:internalName="ReportOrder"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C0840C8-A518-4C2E-8964-5D1739008D17}">
  <ds:schemaRefs>
    <ds:schemaRef ds:uri="http://schemas.microsoft.com/office/infopath/2007/PartnerControls"/>
    <ds:schemaRef ds:uri="http://schemas.microsoft.com/office/2006/metadata/properties"/>
    <ds:schemaRef ds:uri="http://purl.org/dc/dcmitype/"/>
    <ds:schemaRef ds:uri="http://schemas.openxmlformats.org/package/2006/metadata/core-properties"/>
    <ds:schemaRef ds:uri="http://www.w3.org/XML/1998/namespace"/>
    <ds:schemaRef ds:uri="d2d5537c-4e41-485a-b252-8449d1320e77"/>
    <ds:schemaRef ds:uri="http://schemas.microsoft.com/office/2006/documentManagement/types"/>
    <ds:schemaRef ds:uri="http://purl.org/dc/elements/1.1/"/>
    <ds:schemaRef ds:uri="6285d5cc-14b9-47ce-bc52-773a2ed1395b"/>
    <ds:schemaRef ds:uri="http://purl.org/dc/terms/"/>
  </ds:schemaRefs>
</ds:datastoreItem>
</file>

<file path=customXml/itemProps2.xml><?xml version="1.0" encoding="utf-8"?>
<ds:datastoreItem xmlns:ds="http://schemas.openxmlformats.org/officeDocument/2006/customXml" ds:itemID="{7DB624DC-858A-4C9D-90BF-E132318955E5}"/>
</file>

<file path=customXml/itemProps3.xml><?xml version="1.0" encoding="utf-8"?>
<ds:datastoreItem xmlns:ds="http://schemas.openxmlformats.org/officeDocument/2006/customXml" ds:itemID="{036F1A5C-1968-49DE-A285-070067E0D9F3}">
  <ds:schemaRefs>
    <ds:schemaRef ds:uri="http://schemas.microsoft.com/sharepoint/v3/contenttype/forms"/>
  </ds:schemaRefs>
</ds:datastoreItem>
</file>

<file path=customXml/itemProps4.xml><?xml version="1.0" encoding="utf-8"?>
<ds:datastoreItem xmlns:ds="http://schemas.openxmlformats.org/officeDocument/2006/customXml" ds:itemID="{A6FE5F40-7331-43C3-A954-B6776983D2D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Title</vt:lpstr>
      <vt:lpstr>Mortgage Entities in NMLS</vt:lpstr>
      <vt:lpstr>Counts by State Agency</vt:lpstr>
      <vt:lpstr>Company License Activity</vt:lpstr>
      <vt:lpstr>Individual License Activity</vt:lpstr>
      <vt:lpstr>MCR Originations</vt:lpstr>
      <vt:lpstr>MCR MLOs</vt:lpstr>
      <vt:lpstr>Federal Registrations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2026-06-15T15:00:48Z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0x010100894C2AA7025CB648862C89E27864EE7B</vt:lpwstr>
  </property>
  <property fmtid="{D5CDD505-2E9C-101B-9397-08002B2CF9AE}" pid="3" name="MSIP_Label_f01e8231-d2ac-4398-bac1-28dfcc71348e_Enabled">
    <vt:lpwstr>true</vt:lpwstr>
  </property>
  <property fmtid="{D5CDD505-2E9C-101B-9397-08002B2CF9AE}" pid="4" name="MSIP_Label_f01e8231-d2ac-4398-bac1-28dfcc71348e_SetDate">
    <vt:lpwstr>2024-01-01T19:03:26Z</vt:lpwstr>
  </property>
  <property fmtid="{D5CDD505-2E9C-101B-9397-08002B2CF9AE}" pid="5" name="MSIP_Label_f01e8231-d2ac-4398-bac1-28dfcc71348e_Method">
    <vt:lpwstr>Standard</vt:lpwstr>
  </property>
  <property fmtid="{D5CDD505-2E9C-101B-9397-08002B2CF9AE}" pid="6" name="MSIP_Label_f01e8231-d2ac-4398-bac1-28dfcc71348e_Name">
    <vt:lpwstr>Internal Use Only</vt:lpwstr>
  </property>
  <property fmtid="{D5CDD505-2E9C-101B-9397-08002B2CF9AE}" pid="7" name="MSIP_Label_f01e8231-d2ac-4398-bac1-28dfcc71348e_SiteId">
    <vt:lpwstr>15bbbd45-801e-4e97-b5b8-bebef99178d3</vt:lpwstr>
  </property>
  <property fmtid="{D5CDD505-2E9C-101B-9397-08002B2CF9AE}" pid="8" name="MSIP_Label_f01e8231-d2ac-4398-bac1-28dfcc71348e_ActionId">
    <vt:lpwstr>9b70c5df-7784-496b-9569-4ed954808170</vt:lpwstr>
  </property>
  <property fmtid="{D5CDD505-2E9C-101B-9397-08002B2CF9AE}" pid="9" name="MSIP_Label_f01e8231-d2ac-4398-bac1-28dfcc71348e_ContentBits">
    <vt:lpwstr>1</vt:lpwstr>
  </property>
  <property fmtid="{D5CDD505-2E9C-101B-9397-08002B2CF9AE}" pid="10" name="MediaServiceImageTags">
    <vt:lpwstr/>
  </property>
  <property fmtid="{D5CDD505-2E9C-101B-9397-08002B2CF9AE}" pid="11" name="_dlc_DocIdItemGuid">
    <vt:lpwstr>5325e538-63df-46d9-8e74-2d76ce2506f4</vt:lpwstr>
  </property>
</Properties>
</file>